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6.xml" ContentType="application/vnd.openxmlformats-officedocument.drawing+xml"/>
  <Override PartName="/xl/comments3.xml" ContentType="application/vnd.openxmlformats-officedocument.spreadsheetml.comments+xml"/>
  <Override PartName="/xl/drawings/drawing7.xml" ContentType="application/vnd.openxmlformats-officedocument.drawing+xml"/>
  <Override PartName="/xl/comments4.xml" ContentType="application/vnd.openxmlformats-officedocument.spreadsheetml.comments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6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7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i unidad\Universidad\5to año\Economía Técnica Bursátil\Trabajo Final\"/>
    </mc:Choice>
  </mc:AlternateContent>
  <xr:revisionPtr revIDLastSave="0" documentId="13_ncr:1_{1A2A6798-6E3E-4B63-B586-24F6B1D7BAA2}" xr6:coauthVersionLast="47" xr6:coauthVersionMax="47" xr10:uidLastSave="{00000000-0000-0000-0000-000000000000}"/>
  <bookViews>
    <workbookView xWindow="-120" yWindow="-120" windowWidth="20730" windowHeight="11040" firstSheet="3" activeTab="3" xr2:uid="{7D5B4886-EC15-4896-8F4E-FD422C3FAB57}"/>
  </bookViews>
  <sheets>
    <sheet name="A" sheetId="4" r:id="rId1"/>
    <sheet name="Base" sheetId="9" state="hidden" r:id="rId2"/>
    <sheet name="1) Estadística" sheetId="10" r:id="rId3"/>
    <sheet name="2) Research" sheetId="12" r:id="rId4"/>
    <sheet name="3) Macro" sheetId="11" r:id="rId5"/>
    <sheet name="4) Financial Statements" sheetId="3" r:id="rId6"/>
    <sheet name="5) Ratios" sheetId="1" r:id="rId7"/>
    <sheet name="6) Proyecciones" sheetId="8" r:id="rId8"/>
    <sheet name="FCFF" sheetId="2" r:id="rId9"/>
    <sheet name="Relative_Valuation" sheetId="13" r:id="rId10"/>
  </sheets>
  <externalReferences>
    <externalReference r:id="rId11"/>
    <externalReference r:id="rId12"/>
  </externalReferences>
  <definedNames>
    <definedName name="_xlchart.v1.0" hidden="1">'1) Estadística'!$D$10:$D$255</definedName>
    <definedName name="_xlchart.v1.1" hidden="1">'1) Estadística'!$D$9</definedName>
    <definedName name="_xlchart.v1.2" hidden="1">'1) Estadística'!$I$10:$I$255</definedName>
    <definedName name="_xlchart.v1.3" hidden="1">'1) Estadística'!$I$9</definedName>
    <definedName name="solver_eng" localSheetId="8" hidden="1">1</definedName>
    <definedName name="solver_neg" localSheetId="8" hidden="1">1</definedName>
    <definedName name="solver_num" localSheetId="8" hidden="1">0</definedName>
    <definedName name="solver_opt" localSheetId="8" hidden="1">FCFF!$G$39</definedName>
    <definedName name="solver_typ" localSheetId="8" hidden="1">1</definedName>
    <definedName name="solver_val" localSheetId="8" hidden="1">0</definedName>
    <definedName name="solver_ver" localSheetId="8" hidden="1">3</definedName>
  </definedNames>
  <calcPr calcId="191029"/>
  <pivotCaches>
    <pivotCache cacheId="0" r:id="rId13"/>
    <pivotCache cacheId="1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4" i="2" l="1"/>
  <c r="E47" i="2" s="1"/>
  <c r="B16" i="1"/>
  <c r="B10" i="1"/>
  <c r="J6" i="2"/>
  <c r="C10" i="1"/>
  <c r="D10" i="1"/>
  <c r="E10" i="1"/>
  <c r="F10" i="1"/>
  <c r="G59" i="11"/>
  <c r="G60" i="11"/>
  <c r="G61" i="11"/>
  <c r="G62" i="11"/>
  <c r="G63" i="11"/>
  <c r="G64" i="11"/>
  <c r="G65" i="11"/>
  <c r="G66" i="11"/>
  <c r="G67" i="11"/>
  <c r="G68" i="11"/>
  <c r="G69" i="11"/>
  <c r="G58" i="11"/>
  <c r="G29" i="13" l="1"/>
  <c r="F29" i="13"/>
  <c r="E29" i="13"/>
  <c r="D29" i="13"/>
  <c r="C29" i="13"/>
  <c r="B29" i="13"/>
  <c r="B23" i="13"/>
  <c r="C4" i="13"/>
  <c r="D4" i="13"/>
  <c r="E4" i="13"/>
  <c r="F4" i="13"/>
  <c r="G4" i="13"/>
  <c r="B4" i="13"/>
  <c r="B6" i="13" s="1"/>
  <c r="G5" i="13"/>
  <c r="G6" i="13" s="1"/>
  <c r="C18" i="13"/>
  <c r="F5" i="13"/>
  <c r="E5" i="13"/>
  <c r="E6" i="13" s="1"/>
  <c r="D6" i="13"/>
  <c r="C6" i="13"/>
  <c r="G7" i="13" l="1"/>
  <c r="B21" i="13"/>
  <c r="B22" i="13" s="1"/>
  <c r="B24" i="13" s="1"/>
  <c r="F6" i="13"/>
  <c r="J118" i="3"/>
  <c r="K118" i="3"/>
  <c r="L118" i="3"/>
  <c r="M118" i="3"/>
  <c r="I118" i="3"/>
  <c r="M117" i="3"/>
  <c r="M116" i="3"/>
  <c r="M115" i="3"/>
  <c r="I113" i="3"/>
  <c r="J113" i="3"/>
  <c r="K113" i="3"/>
  <c r="L113" i="3"/>
  <c r="M113" i="3"/>
  <c r="I114" i="3"/>
  <c r="J114" i="3"/>
  <c r="K114" i="3"/>
  <c r="L114" i="3"/>
  <c r="M114" i="3"/>
  <c r="J112" i="3"/>
  <c r="K112" i="3"/>
  <c r="L112" i="3"/>
  <c r="M112" i="3"/>
  <c r="I112" i="3"/>
  <c r="J110" i="3"/>
  <c r="K110" i="3"/>
  <c r="L110" i="3"/>
  <c r="M110" i="3"/>
  <c r="I110" i="3"/>
  <c r="I109" i="3"/>
  <c r="J109" i="3"/>
  <c r="K109" i="3"/>
  <c r="L109" i="3"/>
  <c r="M109" i="3"/>
  <c r="J108" i="3"/>
  <c r="K108" i="3"/>
  <c r="L108" i="3"/>
  <c r="M108" i="3"/>
  <c r="I108" i="3"/>
  <c r="J107" i="3"/>
  <c r="K107" i="3"/>
  <c r="L107" i="3"/>
  <c r="M107" i="3"/>
  <c r="I107" i="3"/>
  <c r="I104" i="3"/>
  <c r="J104" i="3"/>
  <c r="K104" i="3"/>
  <c r="L104" i="3"/>
  <c r="M104" i="3"/>
  <c r="I105" i="3"/>
  <c r="J105" i="3"/>
  <c r="K105" i="3"/>
  <c r="L105" i="3"/>
  <c r="M105" i="3"/>
  <c r="I106" i="3"/>
  <c r="J106" i="3"/>
  <c r="K106" i="3"/>
  <c r="L106" i="3"/>
  <c r="M106" i="3"/>
  <c r="J103" i="3"/>
  <c r="K103" i="3"/>
  <c r="L103" i="3"/>
  <c r="M103" i="3"/>
  <c r="I103" i="3"/>
  <c r="C100" i="3"/>
  <c r="D100" i="3"/>
  <c r="E100" i="3"/>
  <c r="F100" i="3"/>
  <c r="B100" i="3"/>
  <c r="G104" i="3"/>
  <c r="G105" i="3"/>
  <c r="G106" i="3"/>
  <c r="G107" i="3"/>
  <c r="G108" i="3"/>
  <c r="G112" i="3"/>
  <c r="G113" i="3"/>
  <c r="G114" i="3"/>
  <c r="G115" i="3"/>
  <c r="G116" i="3"/>
  <c r="G103" i="3"/>
  <c r="H15" i="8"/>
  <c r="I15" i="8"/>
  <c r="J15" i="8" s="1"/>
  <c r="K15" i="8" s="1"/>
  <c r="L15" i="8" s="1"/>
  <c r="H3" i="8"/>
  <c r="I3" i="8"/>
  <c r="J3" i="8"/>
  <c r="K3" i="8"/>
  <c r="L3" i="8"/>
  <c r="G15" i="8"/>
  <c r="E46" i="2"/>
  <c r="G3" i="8"/>
  <c r="P15" i="8"/>
  <c r="H16" i="8"/>
  <c r="I16" i="8" s="1"/>
  <c r="J16" i="8" s="1"/>
  <c r="K16" i="8" s="1"/>
  <c r="L16" i="8" s="1"/>
  <c r="M16" i="8"/>
  <c r="G16" i="8" s="1"/>
  <c r="G42" i="8"/>
  <c r="H42" i="8" s="1"/>
  <c r="I42" i="8" s="1"/>
  <c r="J42" i="8" s="1"/>
  <c r="K42" i="8" s="1"/>
  <c r="L42" i="8" s="1"/>
  <c r="G56" i="8"/>
  <c r="H56" i="8" s="1"/>
  <c r="I56" i="8" s="1"/>
  <c r="J56" i="8" s="1"/>
  <c r="K56" i="8" s="1"/>
  <c r="L56" i="8" s="1"/>
  <c r="C75" i="8"/>
  <c r="D75" i="8"/>
  <c r="E75" i="8"/>
  <c r="F75" i="8"/>
  <c r="B75" i="8"/>
  <c r="D74" i="8"/>
  <c r="C71" i="8"/>
  <c r="D71" i="8"/>
  <c r="E71" i="8"/>
  <c r="F71" i="8"/>
  <c r="B71" i="8"/>
  <c r="C72" i="8"/>
  <c r="D72" i="8"/>
  <c r="E72" i="8"/>
  <c r="F72" i="8"/>
  <c r="B72" i="8"/>
  <c r="C44" i="8"/>
  <c r="D44" i="8"/>
  <c r="E44" i="8"/>
  <c r="F44" i="8"/>
  <c r="C45" i="8"/>
  <c r="C59" i="8" s="1"/>
  <c r="D45" i="8"/>
  <c r="D59" i="8" s="1"/>
  <c r="E45" i="8"/>
  <c r="E59" i="8" s="1"/>
  <c r="F45" i="8"/>
  <c r="F59" i="8" s="1"/>
  <c r="C46" i="8"/>
  <c r="C60" i="8" s="1"/>
  <c r="D46" i="8"/>
  <c r="D60" i="8" s="1"/>
  <c r="E46" i="8"/>
  <c r="E60" i="8" s="1"/>
  <c r="F46" i="8"/>
  <c r="F60" i="8" s="1"/>
  <c r="C47" i="8"/>
  <c r="C61" i="8" s="1"/>
  <c r="D47" i="8"/>
  <c r="D61" i="8" s="1"/>
  <c r="E47" i="8"/>
  <c r="E61" i="8" s="1"/>
  <c r="F47" i="8"/>
  <c r="F61" i="8" s="1"/>
  <c r="C48" i="8"/>
  <c r="C62" i="8" s="1"/>
  <c r="D48" i="8"/>
  <c r="D62" i="8" s="1"/>
  <c r="E48" i="8"/>
  <c r="E62" i="8" s="1"/>
  <c r="F48" i="8"/>
  <c r="F62" i="8" s="1"/>
  <c r="C49" i="8"/>
  <c r="D49" i="8"/>
  <c r="E49" i="8"/>
  <c r="F49" i="8"/>
  <c r="C50" i="8"/>
  <c r="C63" i="8" s="1"/>
  <c r="D50" i="8"/>
  <c r="D63" i="8" s="1"/>
  <c r="E50" i="8"/>
  <c r="E63" i="8" s="1"/>
  <c r="F50" i="8"/>
  <c r="F63" i="8" s="1"/>
  <c r="C51" i="8"/>
  <c r="C64" i="8" s="1"/>
  <c r="D51" i="8"/>
  <c r="D64" i="8" s="1"/>
  <c r="E51" i="8"/>
  <c r="E64" i="8" s="1"/>
  <c r="F51" i="8"/>
  <c r="F64" i="8" s="1"/>
  <c r="C52" i="8"/>
  <c r="C65" i="8" s="1"/>
  <c r="D52" i="8"/>
  <c r="D65" i="8" s="1"/>
  <c r="E52" i="8"/>
  <c r="E65" i="8" s="1"/>
  <c r="F52" i="8"/>
  <c r="F65" i="8" s="1"/>
  <c r="C53" i="8"/>
  <c r="C66" i="8" s="1"/>
  <c r="D53" i="8"/>
  <c r="D66" i="8" s="1"/>
  <c r="E53" i="8"/>
  <c r="E66" i="8" s="1"/>
  <c r="F53" i="8"/>
  <c r="F66" i="8" s="1"/>
  <c r="C54" i="8"/>
  <c r="C67" i="8" s="1"/>
  <c r="D54" i="8"/>
  <c r="D67" i="8" s="1"/>
  <c r="E54" i="8"/>
  <c r="E67" i="8" s="1"/>
  <c r="F54" i="8"/>
  <c r="F67" i="8" s="1"/>
  <c r="C55" i="8"/>
  <c r="C68" i="8" s="1"/>
  <c r="D55" i="8"/>
  <c r="D68" i="8" s="1"/>
  <c r="E55" i="8"/>
  <c r="E68" i="8" s="1"/>
  <c r="F55" i="8"/>
  <c r="F68" i="8" s="1"/>
  <c r="A54" i="8"/>
  <c r="A55" i="8"/>
  <c r="B55" i="8"/>
  <c r="A49" i="8"/>
  <c r="A50" i="8"/>
  <c r="A51" i="8"/>
  <c r="A52" i="8"/>
  <c r="A53" i="8"/>
  <c r="B51" i="8"/>
  <c r="B52" i="8"/>
  <c r="B53" i="8"/>
  <c r="B54" i="8"/>
  <c r="B50" i="8"/>
  <c r="B49" i="8"/>
  <c r="A44" i="8"/>
  <c r="A45" i="8"/>
  <c r="A46" i="8"/>
  <c r="A47" i="8"/>
  <c r="A48" i="8"/>
  <c r="B44" i="8"/>
  <c r="B46" i="8"/>
  <c r="B47" i="8"/>
  <c r="B48" i="8"/>
  <c r="B45" i="8"/>
  <c r="B59" i="8" s="1"/>
  <c r="A33" i="8"/>
  <c r="A34" i="8"/>
  <c r="C33" i="8"/>
  <c r="D33" i="8"/>
  <c r="E33" i="8"/>
  <c r="F33" i="8"/>
  <c r="C34" i="8"/>
  <c r="D34" i="8"/>
  <c r="E34" i="8"/>
  <c r="F34" i="8"/>
  <c r="B33" i="8"/>
  <c r="B34" i="8"/>
  <c r="F26" i="8"/>
  <c r="F27" i="8"/>
  <c r="E26" i="8"/>
  <c r="E27" i="8"/>
  <c r="D26" i="8"/>
  <c r="D27" i="8"/>
  <c r="C26" i="8"/>
  <c r="C27" i="8"/>
  <c r="B26" i="8"/>
  <c r="B27" i="8"/>
  <c r="F11" i="8"/>
  <c r="G11" i="8" s="1"/>
  <c r="H11" i="8" s="1"/>
  <c r="I11" i="8" s="1"/>
  <c r="J11" i="8" s="1"/>
  <c r="K11" i="8" s="1"/>
  <c r="L11" i="8" s="1"/>
  <c r="M31" i="12"/>
  <c r="M32" i="12"/>
  <c r="M33" i="12"/>
  <c r="M34" i="12"/>
  <c r="M35" i="12"/>
  <c r="M36" i="12"/>
  <c r="M37" i="12"/>
  <c r="M38" i="12"/>
  <c r="M39" i="12"/>
  <c r="M30" i="12"/>
  <c r="L25" i="12"/>
  <c r="G41" i="8" l="1"/>
  <c r="C73" i="8"/>
  <c r="F73" i="8"/>
  <c r="C74" i="8"/>
  <c r="C76" i="8"/>
  <c r="E73" i="8"/>
  <c r="D73" i="8"/>
  <c r="G73" i="8" s="1"/>
  <c r="G72" i="8" s="1"/>
  <c r="E74" i="8"/>
  <c r="E76" i="8"/>
  <c r="F76" i="8"/>
  <c r="F74" i="8"/>
  <c r="G74" i="8" s="1"/>
  <c r="D76" i="8"/>
  <c r="B62" i="8"/>
  <c r="G62" i="8" s="1"/>
  <c r="H62" i="8" s="1"/>
  <c r="B66" i="8"/>
  <c r="G66" i="8" s="1"/>
  <c r="H66" i="8" s="1"/>
  <c r="I66" i="8" s="1"/>
  <c r="B68" i="8"/>
  <c r="G68" i="8" s="1"/>
  <c r="H68" i="8" s="1"/>
  <c r="I68" i="8" s="1"/>
  <c r="B65" i="8"/>
  <c r="G65" i="8" s="1"/>
  <c r="H65" i="8" s="1"/>
  <c r="B63" i="8"/>
  <c r="G63" i="8" s="1"/>
  <c r="H63" i="8" s="1"/>
  <c r="B64" i="8"/>
  <c r="G64" i="8" s="1"/>
  <c r="H64" i="8" s="1"/>
  <c r="I64" i="8" s="1"/>
  <c r="B67" i="8"/>
  <c r="G67" i="8" s="1"/>
  <c r="H67" i="8" s="1"/>
  <c r="B60" i="8"/>
  <c r="G60" i="8" s="1"/>
  <c r="B61" i="8"/>
  <c r="G61" i="8" s="1"/>
  <c r="G59" i="8"/>
  <c r="C39" i="8"/>
  <c r="D39" i="8"/>
  <c r="E39" i="8"/>
  <c r="F39" i="8"/>
  <c r="B39" i="8"/>
  <c r="C43" i="8"/>
  <c r="D43" i="8"/>
  <c r="D57" i="8" s="1"/>
  <c r="E43" i="8"/>
  <c r="E57" i="8" s="1"/>
  <c r="F43" i="8"/>
  <c r="F57" i="8" s="1"/>
  <c r="B43" i="8"/>
  <c r="C22" i="1"/>
  <c r="D22" i="1"/>
  <c r="E22" i="1"/>
  <c r="F22" i="1"/>
  <c r="B22" i="1"/>
  <c r="E12" i="3"/>
  <c r="E10" i="3" s="1"/>
  <c r="E25" i="8" s="1"/>
  <c r="E29" i="8" s="1"/>
  <c r="E11" i="3"/>
  <c r="E19" i="3"/>
  <c r="E17" i="3" s="1"/>
  <c r="E13" i="3"/>
  <c r="E14" i="3"/>
  <c r="E8" i="3"/>
  <c r="E21" i="1" s="1"/>
  <c r="E81" i="3"/>
  <c r="E84" i="3" s="1"/>
  <c r="E78" i="3"/>
  <c r="E72" i="3"/>
  <c r="E71" i="3"/>
  <c r="E70" i="3"/>
  <c r="E69" i="3"/>
  <c r="E68" i="3"/>
  <c r="E58" i="3"/>
  <c r="E57" i="3"/>
  <c r="E48" i="3"/>
  <c r="E51" i="3" s="1"/>
  <c r="B18" i="8"/>
  <c r="B15" i="8"/>
  <c r="B14" i="8" s="1"/>
  <c r="C15" i="8"/>
  <c r="D15" i="8"/>
  <c r="E15" i="8"/>
  <c r="F15" i="8"/>
  <c r="L9" i="8"/>
  <c r="K9" i="8"/>
  <c r="J9" i="8"/>
  <c r="I9" i="8"/>
  <c r="H9" i="8"/>
  <c r="G9" i="8"/>
  <c r="K13" i="11"/>
  <c r="H6" i="8" s="1"/>
  <c r="K14" i="11"/>
  <c r="I6" i="8" s="1"/>
  <c r="K15" i="11"/>
  <c r="J6" i="8" s="1"/>
  <c r="K16" i="11"/>
  <c r="K6" i="8" s="1"/>
  <c r="K17" i="11"/>
  <c r="L6" i="8" s="1"/>
  <c r="K8" i="11"/>
  <c r="C6" i="8" s="1"/>
  <c r="K9" i="11"/>
  <c r="D6" i="8" s="1"/>
  <c r="K10" i="11"/>
  <c r="E6" i="8" s="1"/>
  <c r="K11" i="11"/>
  <c r="F6" i="8" s="1"/>
  <c r="K12" i="11"/>
  <c r="G6" i="8" s="1"/>
  <c r="K7" i="11"/>
  <c r="B6" i="8" s="1"/>
  <c r="AJ16" i="9"/>
  <c r="AJ17" i="9"/>
  <c r="AJ18" i="9"/>
  <c r="AJ15" i="9"/>
  <c r="D20" i="1"/>
  <c r="B20" i="1"/>
  <c r="B21" i="1"/>
  <c r="C19" i="1"/>
  <c r="D19" i="1"/>
  <c r="E19" i="1"/>
  <c r="F19" i="1"/>
  <c r="B19" i="1"/>
  <c r="C18" i="1"/>
  <c r="D18" i="1"/>
  <c r="E18" i="1"/>
  <c r="F18" i="1"/>
  <c r="B18" i="1"/>
  <c r="C9" i="1"/>
  <c r="D9" i="1"/>
  <c r="B7" i="1"/>
  <c r="C7" i="1"/>
  <c r="C81" i="3"/>
  <c r="C84" i="3" s="1"/>
  <c r="C78" i="3"/>
  <c r="C80" i="3" s="1"/>
  <c r="C68" i="3"/>
  <c r="C73" i="3"/>
  <c r="C75" i="3"/>
  <c r="C74" i="3"/>
  <c r="C71" i="3"/>
  <c r="C70" i="3"/>
  <c r="C69" i="3"/>
  <c r="B69" i="3"/>
  <c r="B70" i="3"/>
  <c r="B71" i="3"/>
  <c r="B72" i="3"/>
  <c r="B73" i="3"/>
  <c r="B74" i="3"/>
  <c r="B75" i="3"/>
  <c r="C65" i="3"/>
  <c r="C48" i="3"/>
  <c r="C51" i="3" s="1"/>
  <c r="C21" i="3"/>
  <c r="C19" i="3"/>
  <c r="C14" i="3"/>
  <c r="C13" i="3" s="1"/>
  <c r="C8" i="3"/>
  <c r="C9" i="3" s="1"/>
  <c r="B81" i="3"/>
  <c r="B84" i="3" s="1"/>
  <c r="B78" i="3"/>
  <c r="B65" i="3"/>
  <c r="B48" i="3"/>
  <c r="B51" i="3" s="1"/>
  <c r="B21" i="3"/>
  <c r="B19" i="3"/>
  <c r="B17" i="3" s="1"/>
  <c r="B15" i="3"/>
  <c r="B14" i="3"/>
  <c r="B13" i="3" s="1"/>
  <c r="B11" i="3"/>
  <c r="B10" i="3" s="1"/>
  <c r="B25" i="8" s="1"/>
  <c r="B29" i="8" s="1"/>
  <c r="B8" i="3"/>
  <c r="B9" i="3" s="1"/>
  <c r="D82" i="3"/>
  <c r="D84" i="3" s="1"/>
  <c r="B80" i="3"/>
  <c r="E80" i="3"/>
  <c r="D78" i="3"/>
  <c r="D72" i="3"/>
  <c r="D71" i="3"/>
  <c r="D70" i="3"/>
  <c r="D69" i="3"/>
  <c r="B60" i="3"/>
  <c r="C60" i="3"/>
  <c r="D60" i="3"/>
  <c r="D59" i="3" s="1"/>
  <c r="E60" i="3"/>
  <c r="E32" i="8" s="1"/>
  <c r="E36" i="8" s="1"/>
  <c r="D48" i="3"/>
  <c r="D51" i="3" s="1"/>
  <c r="B30" i="3"/>
  <c r="C30" i="3"/>
  <c r="D30" i="3"/>
  <c r="D7" i="1" s="1"/>
  <c r="D21" i="3"/>
  <c r="C17" i="3"/>
  <c r="D19" i="3"/>
  <c r="D18" i="3"/>
  <c r="D15" i="3"/>
  <c r="D14" i="3"/>
  <c r="D13" i="3" s="1"/>
  <c r="D12" i="3"/>
  <c r="D11" i="3"/>
  <c r="D10" i="3" s="1"/>
  <c r="D25" i="8" s="1"/>
  <c r="D29" i="8" s="1"/>
  <c r="D30" i="8" s="1"/>
  <c r="C10" i="3"/>
  <c r="C25" i="8" s="1"/>
  <c r="C29" i="8" s="1"/>
  <c r="D8" i="3"/>
  <c r="D9" i="3" s="1"/>
  <c r="F81" i="3"/>
  <c r="F84" i="3" s="1"/>
  <c r="F78" i="3"/>
  <c r="F80" i="3" s="1"/>
  <c r="F74" i="3"/>
  <c r="F73" i="3"/>
  <c r="F71" i="3"/>
  <c r="F70" i="3"/>
  <c r="F69" i="3"/>
  <c r="F60" i="3"/>
  <c r="F32" i="8" s="1"/>
  <c r="F58" i="3"/>
  <c r="B44" i="3"/>
  <c r="B9" i="1" s="1"/>
  <c r="C44" i="3"/>
  <c r="D44" i="3"/>
  <c r="E44" i="3"/>
  <c r="B32" i="3"/>
  <c r="B36" i="3" s="1"/>
  <c r="C32" i="3"/>
  <c r="C36" i="3" s="1"/>
  <c r="D32" i="3"/>
  <c r="D36" i="3" s="1"/>
  <c r="E32" i="3"/>
  <c r="E36" i="3" s="1"/>
  <c r="E30" i="3"/>
  <c r="F51" i="3"/>
  <c r="F44" i="3"/>
  <c r="F9" i="1" s="1"/>
  <c r="F32" i="3"/>
  <c r="F36" i="3" s="1"/>
  <c r="F30" i="3"/>
  <c r="F21" i="3"/>
  <c r="F14" i="3"/>
  <c r="F13" i="3" s="1"/>
  <c r="F19" i="3"/>
  <c r="F17" i="3" s="1"/>
  <c r="F10" i="3"/>
  <c r="F25" i="8" s="1"/>
  <c r="F8" i="3"/>
  <c r="F9" i="3" s="1"/>
  <c r="F72" i="11"/>
  <c r="F71" i="11"/>
  <c r="F70" i="11"/>
  <c r="C70" i="11"/>
  <c r="F69" i="11"/>
  <c r="C69" i="11"/>
  <c r="F68" i="11"/>
  <c r="C68" i="11"/>
  <c r="F67" i="11"/>
  <c r="C67" i="11"/>
  <c r="F66" i="11"/>
  <c r="C66" i="11"/>
  <c r="F65" i="11"/>
  <c r="C65" i="11"/>
  <c r="F64" i="11"/>
  <c r="C64" i="11"/>
  <c r="F63" i="11"/>
  <c r="C63" i="11"/>
  <c r="F62" i="11"/>
  <c r="C62" i="11"/>
  <c r="F61" i="11"/>
  <c r="C61" i="11"/>
  <c r="F60" i="11"/>
  <c r="C60" i="11"/>
  <c r="F59" i="11"/>
  <c r="C59" i="11"/>
  <c r="F58" i="11"/>
  <c r="C58" i="11"/>
  <c r="F57" i="11"/>
  <c r="C57" i="11"/>
  <c r="F56" i="11"/>
  <c r="C56" i="11"/>
  <c r="F55" i="11"/>
  <c r="C55" i="11"/>
  <c r="F54" i="11"/>
  <c r="C54" i="11"/>
  <c r="F53" i="11"/>
  <c r="C53" i="11"/>
  <c r="F52" i="11"/>
  <c r="C52" i="11"/>
  <c r="F51" i="11"/>
  <c r="C51" i="11"/>
  <c r="F50" i="11"/>
  <c r="C50" i="11"/>
  <c r="F49" i="11"/>
  <c r="C49" i="11"/>
  <c r="F48" i="11"/>
  <c r="C48" i="11"/>
  <c r="F47" i="11"/>
  <c r="C47" i="11"/>
  <c r="F46" i="11"/>
  <c r="C46" i="11"/>
  <c r="F45" i="11"/>
  <c r="C45" i="11"/>
  <c r="F44" i="11"/>
  <c r="C44" i="11"/>
  <c r="F43" i="11"/>
  <c r="C43" i="11"/>
  <c r="F42" i="11"/>
  <c r="C42" i="11"/>
  <c r="F41" i="11"/>
  <c r="C41" i="11"/>
  <c r="F40" i="11"/>
  <c r="C40" i="11"/>
  <c r="F39" i="11"/>
  <c r="C39" i="11"/>
  <c r="F38" i="11"/>
  <c r="C38" i="11"/>
  <c r="F37" i="11"/>
  <c r="C37" i="11"/>
  <c r="F36" i="11"/>
  <c r="C36" i="11"/>
  <c r="F35" i="11"/>
  <c r="C35" i="11"/>
  <c r="F34" i="11"/>
  <c r="C34" i="11"/>
  <c r="F33" i="11"/>
  <c r="C33" i="11"/>
  <c r="F32" i="11"/>
  <c r="C32" i="11"/>
  <c r="F31" i="11"/>
  <c r="C31" i="11"/>
  <c r="F30" i="11"/>
  <c r="C30" i="11"/>
  <c r="F29" i="11"/>
  <c r="C29" i="11"/>
  <c r="F28" i="11"/>
  <c r="C28" i="11"/>
  <c r="F27" i="11"/>
  <c r="C27" i="11"/>
  <c r="F26" i="11"/>
  <c r="C26" i="11"/>
  <c r="F25" i="11"/>
  <c r="C25" i="11"/>
  <c r="F24" i="11"/>
  <c r="C24" i="11"/>
  <c r="F23" i="11"/>
  <c r="C23" i="11"/>
  <c r="F22" i="11"/>
  <c r="C22" i="11"/>
  <c r="F21" i="11"/>
  <c r="C21" i="11"/>
  <c r="F20" i="11"/>
  <c r="C20" i="11"/>
  <c r="F19" i="11"/>
  <c r="C19" i="11"/>
  <c r="F18" i="11"/>
  <c r="C18" i="11"/>
  <c r="F17" i="11"/>
  <c r="C17" i="11"/>
  <c r="F16" i="11"/>
  <c r="C16" i="11"/>
  <c r="F15" i="11"/>
  <c r="C15" i="11"/>
  <c r="F14" i="11"/>
  <c r="C14" i="11"/>
  <c r="F13" i="11"/>
  <c r="C13" i="11"/>
  <c r="F12" i="11"/>
  <c r="C12" i="11"/>
  <c r="I11" i="11"/>
  <c r="F9" i="8" s="1"/>
  <c r="F11" i="11"/>
  <c r="C11" i="11"/>
  <c r="I10" i="11"/>
  <c r="E9" i="8" s="1"/>
  <c r="F10" i="11"/>
  <c r="C10" i="11"/>
  <c r="I9" i="11"/>
  <c r="D9" i="8" s="1"/>
  <c r="F9" i="11"/>
  <c r="C9" i="11"/>
  <c r="I8" i="11"/>
  <c r="C9" i="8" s="1"/>
  <c r="F8" i="11"/>
  <c r="C8" i="11"/>
  <c r="I7" i="11"/>
  <c r="B9" i="8" s="1"/>
  <c r="K255" i="10"/>
  <c r="F255" i="10"/>
  <c r="C255" i="10"/>
  <c r="K254" i="10"/>
  <c r="F254" i="10"/>
  <c r="G254" i="10" s="1"/>
  <c r="D254" i="10"/>
  <c r="C254" i="10"/>
  <c r="K253" i="10"/>
  <c r="F253" i="10"/>
  <c r="D253" i="10"/>
  <c r="C253" i="10"/>
  <c r="K252" i="10"/>
  <c r="F252" i="10"/>
  <c r="D252" i="10"/>
  <c r="C252" i="10"/>
  <c r="E252" i="10" s="1"/>
  <c r="K251" i="10"/>
  <c r="F251" i="10"/>
  <c r="G251" i="10" s="1"/>
  <c r="D251" i="10"/>
  <c r="C251" i="10"/>
  <c r="K250" i="10"/>
  <c r="F250" i="10"/>
  <c r="G250" i="10" s="1"/>
  <c r="D250" i="10"/>
  <c r="C250" i="10"/>
  <c r="K249" i="10"/>
  <c r="F249" i="10"/>
  <c r="D249" i="10"/>
  <c r="C249" i="10"/>
  <c r="E249" i="10" s="1"/>
  <c r="K248" i="10"/>
  <c r="F248" i="10"/>
  <c r="G248" i="10" s="1"/>
  <c r="D248" i="10"/>
  <c r="C248" i="10"/>
  <c r="E248" i="10" s="1"/>
  <c r="K247" i="10"/>
  <c r="F247" i="10"/>
  <c r="G247" i="10" s="1"/>
  <c r="D247" i="10"/>
  <c r="C247" i="10"/>
  <c r="K246" i="10"/>
  <c r="F246" i="10"/>
  <c r="G246" i="10" s="1"/>
  <c r="D246" i="10"/>
  <c r="C246" i="10"/>
  <c r="K245" i="10"/>
  <c r="F245" i="10"/>
  <c r="D245" i="10"/>
  <c r="C245" i="10"/>
  <c r="E245" i="10" s="1"/>
  <c r="K244" i="10"/>
  <c r="F244" i="10"/>
  <c r="G244" i="10" s="1"/>
  <c r="D244" i="10"/>
  <c r="C244" i="10"/>
  <c r="E244" i="10" s="1"/>
  <c r="K243" i="10"/>
  <c r="F243" i="10"/>
  <c r="G243" i="10" s="1"/>
  <c r="I243" i="10" s="1"/>
  <c r="D243" i="10"/>
  <c r="C243" i="10"/>
  <c r="K242" i="10"/>
  <c r="F242" i="10"/>
  <c r="G242" i="10" s="1"/>
  <c r="D242" i="10"/>
  <c r="C242" i="10"/>
  <c r="K241" i="10"/>
  <c r="F241" i="10"/>
  <c r="D241" i="10"/>
  <c r="C241" i="10"/>
  <c r="E241" i="10" s="1"/>
  <c r="K240" i="10"/>
  <c r="F240" i="10"/>
  <c r="D240" i="10"/>
  <c r="C240" i="10"/>
  <c r="E240" i="10" s="1"/>
  <c r="K239" i="10"/>
  <c r="F239" i="10"/>
  <c r="G239" i="10" s="1"/>
  <c r="D239" i="10"/>
  <c r="C239" i="10"/>
  <c r="K238" i="10"/>
  <c r="F238" i="10"/>
  <c r="G238" i="10" s="1"/>
  <c r="D238" i="10"/>
  <c r="C238" i="10"/>
  <c r="K237" i="10"/>
  <c r="F237" i="10"/>
  <c r="D237" i="10"/>
  <c r="C237" i="10"/>
  <c r="E237" i="10" s="1"/>
  <c r="K236" i="10"/>
  <c r="F236" i="10"/>
  <c r="D236" i="10"/>
  <c r="C236" i="10"/>
  <c r="E236" i="10" s="1"/>
  <c r="K235" i="10"/>
  <c r="F235" i="10"/>
  <c r="G235" i="10" s="1"/>
  <c r="D235" i="10"/>
  <c r="C235" i="10"/>
  <c r="K234" i="10"/>
  <c r="F234" i="10"/>
  <c r="G234" i="10" s="1"/>
  <c r="D234" i="10"/>
  <c r="C234" i="10"/>
  <c r="K233" i="10"/>
  <c r="F233" i="10"/>
  <c r="D233" i="10"/>
  <c r="C233" i="10"/>
  <c r="E233" i="10" s="1"/>
  <c r="K232" i="10"/>
  <c r="F232" i="10"/>
  <c r="G232" i="10" s="1"/>
  <c r="D232" i="10"/>
  <c r="C232" i="10"/>
  <c r="E232" i="10" s="1"/>
  <c r="K231" i="10"/>
  <c r="F231" i="10"/>
  <c r="G231" i="10" s="1"/>
  <c r="D231" i="10"/>
  <c r="C231" i="10"/>
  <c r="K230" i="10"/>
  <c r="F230" i="10"/>
  <c r="G230" i="10" s="1"/>
  <c r="D230" i="10"/>
  <c r="C230" i="10"/>
  <c r="K229" i="10"/>
  <c r="F229" i="10"/>
  <c r="D229" i="10"/>
  <c r="C229" i="10"/>
  <c r="K228" i="10"/>
  <c r="F228" i="10"/>
  <c r="G228" i="10" s="1"/>
  <c r="D228" i="10"/>
  <c r="C228" i="10"/>
  <c r="K227" i="10"/>
  <c r="F227" i="10"/>
  <c r="G227" i="10" s="1"/>
  <c r="D227" i="10"/>
  <c r="C227" i="10"/>
  <c r="K226" i="10"/>
  <c r="F226" i="10"/>
  <c r="G226" i="10" s="1"/>
  <c r="D226" i="10"/>
  <c r="C226" i="10"/>
  <c r="K225" i="10"/>
  <c r="F225" i="10"/>
  <c r="D225" i="10"/>
  <c r="C225" i="10"/>
  <c r="E225" i="10" s="1"/>
  <c r="K224" i="10"/>
  <c r="F224" i="10"/>
  <c r="G224" i="10" s="1"/>
  <c r="D224" i="10"/>
  <c r="C224" i="10"/>
  <c r="K223" i="10"/>
  <c r="F223" i="10"/>
  <c r="G223" i="10" s="1"/>
  <c r="D223" i="10"/>
  <c r="C223" i="10"/>
  <c r="K222" i="10"/>
  <c r="F222" i="10"/>
  <c r="G222" i="10" s="1"/>
  <c r="D222" i="10"/>
  <c r="C222" i="10"/>
  <c r="K221" i="10"/>
  <c r="F221" i="10"/>
  <c r="D221" i="10"/>
  <c r="C221" i="10"/>
  <c r="K220" i="10"/>
  <c r="F220" i="10"/>
  <c r="G220" i="10" s="1"/>
  <c r="D220" i="10"/>
  <c r="C220" i="10"/>
  <c r="K219" i="10"/>
  <c r="F219" i="10"/>
  <c r="G219" i="10" s="1"/>
  <c r="I219" i="10" s="1"/>
  <c r="D219" i="10"/>
  <c r="C219" i="10"/>
  <c r="K218" i="10"/>
  <c r="F218" i="10"/>
  <c r="G218" i="10" s="1"/>
  <c r="I218" i="10" s="1"/>
  <c r="D218" i="10"/>
  <c r="C218" i="10"/>
  <c r="K217" i="10"/>
  <c r="F217" i="10"/>
  <c r="D217" i="10"/>
  <c r="C217" i="10"/>
  <c r="K216" i="10"/>
  <c r="F216" i="10"/>
  <c r="G216" i="10" s="1"/>
  <c r="D216" i="10"/>
  <c r="C216" i="10"/>
  <c r="K215" i="10"/>
  <c r="F215" i="10"/>
  <c r="G215" i="10" s="1"/>
  <c r="D215" i="10"/>
  <c r="C215" i="10"/>
  <c r="K214" i="10"/>
  <c r="F214" i="10"/>
  <c r="G214" i="10" s="1"/>
  <c r="D214" i="10"/>
  <c r="C214" i="10"/>
  <c r="E214" i="10" s="1"/>
  <c r="K213" i="10"/>
  <c r="F213" i="10"/>
  <c r="D213" i="10"/>
  <c r="C213" i="10"/>
  <c r="K212" i="10"/>
  <c r="F212" i="10"/>
  <c r="D212" i="10"/>
  <c r="C212" i="10"/>
  <c r="K211" i="10"/>
  <c r="F211" i="10"/>
  <c r="G211" i="10" s="1"/>
  <c r="D211" i="10"/>
  <c r="C211" i="10"/>
  <c r="K210" i="10"/>
  <c r="F210" i="10"/>
  <c r="G210" i="10" s="1"/>
  <c r="D210" i="10"/>
  <c r="C210" i="10"/>
  <c r="E210" i="10" s="1"/>
  <c r="K209" i="10"/>
  <c r="F209" i="10"/>
  <c r="D209" i="10"/>
  <c r="C209" i="10"/>
  <c r="K208" i="10"/>
  <c r="F208" i="10"/>
  <c r="D208" i="10"/>
  <c r="C208" i="10"/>
  <c r="K207" i="10"/>
  <c r="F207" i="10"/>
  <c r="G207" i="10" s="1"/>
  <c r="D207" i="10"/>
  <c r="C207" i="10"/>
  <c r="K206" i="10"/>
  <c r="F206" i="10"/>
  <c r="G206" i="10" s="1"/>
  <c r="D206" i="10"/>
  <c r="C206" i="10"/>
  <c r="E206" i="10" s="1"/>
  <c r="K205" i="10"/>
  <c r="F205" i="10"/>
  <c r="D205" i="10"/>
  <c r="C205" i="10"/>
  <c r="K204" i="10"/>
  <c r="F204" i="10"/>
  <c r="G204" i="10" s="1"/>
  <c r="D204" i="10"/>
  <c r="C204" i="10"/>
  <c r="K203" i="10"/>
  <c r="F203" i="10"/>
  <c r="G203" i="10" s="1"/>
  <c r="D203" i="10"/>
  <c r="C203" i="10"/>
  <c r="K202" i="10"/>
  <c r="F202" i="10"/>
  <c r="G202" i="10" s="1"/>
  <c r="D202" i="10"/>
  <c r="C202" i="10"/>
  <c r="K201" i="10"/>
  <c r="F201" i="10"/>
  <c r="D201" i="10"/>
  <c r="C201" i="10"/>
  <c r="E201" i="10" s="1"/>
  <c r="K200" i="10"/>
  <c r="F200" i="10"/>
  <c r="D200" i="10"/>
  <c r="C200" i="10"/>
  <c r="K199" i="10"/>
  <c r="F199" i="10"/>
  <c r="G199" i="10" s="1"/>
  <c r="D199" i="10"/>
  <c r="C199" i="10"/>
  <c r="E199" i="10" s="1"/>
  <c r="K198" i="10"/>
  <c r="F198" i="10"/>
  <c r="G198" i="10" s="1"/>
  <c r="D198" i="10"/>
  <c r="C198" i="10"/>
  <c r="K197" i="10"/>
  <c r="F197" i="10"/>
  <c r="D197" i="10"/>
  <c r="C197" i="10"/>
  <c r="E197" i="10" s="1"/>
  <c r="K196" i="10"/>
  <c r="F196" i="10"/>
  <c r="D196" i="10"/>
  <c r="C196" i="10"/>
  <c r="E196" i="10" s="1"/>
  <c r="K195" i="10"/>
  <c r="F195" i="10"/>
  <c r="G195" i="10" s="1"/>
  <c r="D195" i="10"/>
  <c r="C195" i="10"/>
  <c r="K194" i="10"/>
  <c r="F194" i="10"/>
  <c r="G194" i="10" s="1"/>
  <c r="D194" i="10"/>
  <c r="C194" i="10"/>
  <c r="K193" i="10"/>
  <c r="F193" i="10"/>
  <c r="D193" i="10"/>
  <c r="C193" i="10"/>
  <c r="K192" i="10"/>
  <c r="F192" i="10"/>
  <c r="D192" i="10"/>
  <c r="C192" i="10"/>
  <c r="K191" i="10"/>
  <c r="F191" i="10"/>
  <c r="G191" i="10" s="1"/>
  <c r="D191" i="10"/>
  <c r="C191" i="10"/>
  <c r="K190" i="10"/>
  <c r="F190" i="10"/>
  <c r="G190" i="10" s="1"/>
  <c r="D190" i="10"/>
  <c r="C190" i="10"/>
  <c r="K189" i="10"/>
  <c r="F189" i="10"/>
  <c r="D189" i="10"/>
  <c r="C189" i="10"/>
  <c r="E189" i="10" s="1"/>
  <c r="K188" i="10"/>
  <c r="F188" i="10"/>
  <c r="D188" i="10"/>
  <c r="C188" i="10"/>
  <c r="E188" i="10" s="1"/>
  <c r="K187" i="10"/>
  <c r="F187" i="10"/>
  <c r="G187" i="10" s="1"/>
  <c r="D187" i="10"/>
  <c r="C187" i="10"/>
  <c r="K186" i="10"/>
  <c r="F186" i="10"/>
  <c r="G186" i="10" s="1"/>
  <c r="D186" i="10"/>
  <c r="C186" i="10"/>
  <c r="K185" i="10"/>
  <c r="F185" i="10"/>
  <c r="D185" i="10"/>
  <c r="C185" i="10"/>
  <c r="K184" i="10"/>
  <c r="F184" i="10"/>
  <c r="G184" i="10" s="1"/>
  <c r="D184" i="10"/>
  <c r="C184" i="10"/>
  <c r="E184" i="10" s="1"/>
  <c r="K183" i="10"/>
  <c r="F183" i="10"/>
  <c r="G183" i="10" s="1"/>
  <c r="D183" i="10"/>
  <c r="C183" i="10"/>
  <c r="K182" i="10"/>
  <c r="F182" i="10"/>
  <c r="D182" i="10"/>
  <c r="C182" i="10"/>
  <c r="K181" i="10"/>
  <c r="F181" i="10"/>
  <c r="D181" i="10"/>
  <c r="C181" i="10"/>
  <c r="K180" i="10"/>
  <c r="F180" i="10"/>
  <c r="G180" i="10" s="1"/>
  <c r="D180" i="10"/>
  <c r="C180" i="10"/>
  <c r="K179" i="10"/>
  <c r="F179" i="10"/>
  <c r="G179" i="10" s="1"/>
  <c r="D179" i="10"/>
  <c r="C179" i="10"/>
  <c r="K178" i="10"/>
  <c r="F178" i="10"/>
  <c r="D178" i="10"/>
  <c r="C178" i="10"/>
  <c r="K177" i="10"/>
  <c r="F177" i="10"/>
  <c r="D177" i="10"/>
  <c r="C177" i="10"/>
  <c r="K176" i="10"/>
  <c r="F176" i="10"/>
  <c r="G176" i="10" s="1"/>
  <c r="D176" i="10"/>
  <c r="C176" i="10"/>
  <c r="E176" i="10" s="1"/>
  <c r="K175" i="10"/>
  <c r="F175" i="10"/>
  <c r="G175" i="10" s="1"/>
  <c r="D175" i="10"/>
  <c r="C175" i="10"/>
  <c r="K174" i="10"/>
  <c r="F174" i="10"/>
  <c r="D174" i="10"/>
  <c r="C174" i="10"/>
  <c r="E174" i="10" s="1"/>
  <c r="K173" i="10"/>
  <c r="F173" i="10"/>
  <c r="D173" i="10"/>
  <c r="C173" i="10"/>
  <c r="E173" i="10" s="1"/>
  <c r="K172" i="10"/>
  <c r="F172" i="10"/>
  <c r="G172" i="10" s="1"/>
  <c r="D172" i="10"/>
  <c r="C172" i="10"/>
  <c r="K171" i="10"/>
  <c r="F171" i="10"/>
  <c r="G171" i="10" s="1"/>
  <c r="D171" i="10"/>
  <c r="C171" i="10"/>
  <c r="K170" i="10"/>
  <c r="F170" i="10"/>
  <c r="D170" i="10"/>
  <c r="C170" i="10"/>
  <c r="K169" i="10"/>
  <c r="F169" i="10"/>
  <c r="D169" i="10"/>
  <c r="C169" i="10"/>
  <c r="K168" i="10"/>
  <c r="F168" i="10"/>
  <c r="G168" i="10" s="1"/>
  <c r="D168" i="10"/>
  <c r="C168" i="10"/>
  <c r="K167" i="10"/>
  <c r="F167" i="10"/>
  <c r="G167" i="10" s="1"/>
  <c r="D167" i="10"/>
  <c r="C167" i="10"/>
  <c r="K166" i="10"/>
  <c r="F166" i="10"/>
  <c r="D166" i="10"/>
  <c r="C166" i="10"/>
  <c r="K165" i="10"/>
  <c r="F165" i="10"/>
  <c r="D165" i="10"/>
  <c r="C165" i="10"/>
  <c r="K164" i="10"/>
  <c r="F164" i="10"/>
  <c r="G164" i="10" s="1"/>
  <c r="D164" i="10"/>
  <c r="C164" i="10"/>
  <c r="K163" i="10"/>
  <c r="F163" i="10"/>
  <c r="G163" i="10" s="1"/>
  <c r="D163" i="10"/>
  <c r="C163" i="10"/>
  <c r="K162" i="10"/>
  <c r="F162" i="10"/>
  <c r="D162" i="10"/>
  <c r="C162" i="10"/>
  <c r="E162" i="10" s="1"/>
  <c r="K161" i="10"/>
  <c r="F161" i="10"/>
  <c r="D161" i="10"/>
  <c r="C161" i="10"/>
  <c r="K160" i="10"/>
  <c r="F160" i="10"/>
  <c r="G160" i="10" s="1"/>
  <c r="D160" i="10"/>
  <c r="C160" i="10"/>
  <c r="K159" i="10"/>
  <c r="F159" i="10"/>
  <c r="G159" i="10" s="1"/>
  <c r="D159" i="10"/>
  <c r="C159" i="10"/>
  <c r="K158" i="10"/>
  <c r="F158" i="10"/>
  <c r="G158" i="10" s="1"/>
  <c r="D158" i="10"/>
  <c r="C158" i="10"/>
  <c r="K157" i="10"/>
  <c r="F157" i="10"/>
  <c r="D157" i="10"/>
  <c r="C157" i="10"/>
  <c r="E157" i="10" s="1"/>
  <c r="K156" i="10"/>
  <c r="F156" i="10"/>
  <c r="G156" i="10" s="1"/>
  <c r="D156" i="10"/>
  <c r="C156" i="10"/>
  <c r="K155" i="10"/>
  <c r="F155" i="10"/>
  <c r="D155" i="10"/>
  <c r="C155" i="10"/>
  <c r="K154" i="10"/>
  <c r="F154" i="10"/>
  <c r="D154" i="10"/>
  <c r="C154" i="10"/>
  <c r="K153" i="10"/>
  <c r="F153" i="10"/>
  <c r="D153" i="10"/>
  <c r="C153" i="10"/>
  <c r="K152" i="10"/>
  <c r="F152" i="10"/>
  <c r="G152" i="10" s="1"/>
  <c r="D152" i="10"/>
  <c r="C152" i="10"/>
  <c r="K151" i="10"/>
  <c r="F151" i="10"/>
  <c r="G151" i="10" s="1"/>
  <c r="D151" i="10"/>
  <c r="C151" i="10"/>
  <c r="K150" i="10"/>
  <c r="F150" i="10"/>
  <c r="D150" i="10"/>
  <c r="C150" i="10"/>
  <c r="K149" i="10"/>
  <c r="F149" i="10"/>
  <c r="D149" i="10"/>
  <c r="C149" i="10"/>
  <c r="K148" i="10"/>
  <c r="F148" i="10"/>
  <c r="G148" i="10" s="1"/>
  <c r="D148" i="10"/>
  <c r="C148" i="10"/>
  <c r="K147" i="10"/>
  <c r="F147" i="10"/>
  <c r="G147" i="10" s="1"/>
  <c r="D147" i="10"/>
  <c r="C147" i="10"/>
  <c r="K146" i="10"/>
  <c r="F146" i="10"/>
  <c r="D146" i="10"/>
  <c r="C146" i="10"/>
  <c r="K145" i="10"/>
  <c r="F145" i="10"/>
  <c r="D145" i="10"/>
  <c r="C145" i="10"/>
  <c r="K144" i="10"/>
  <c r="F144" i="10"/>
  <c r="D144" i="10"/>
  <c r="C144" i="10"/>
  <c r="K143" i="10"/>
  <c r="F143" i="10"/>
  <c r="G143" i="10" s="1"/>
  <c r="D143" i="10"/>
  <c r="C143" i="10"/>
  <c r="K142" i="10"/>
  <c r="F142" i="10"/>
  <c r="G142" i="10" s="1"/>
  <c r="D142" i="10"/>
  <c r="C142" i="10"/>
  <c r="K141" i="10"/>
  <c r="F141" i="10"/>
  <c r="G141" i="10" s="1"/>
  <c r="I141" i="10" s="1"/>
  <c r="D141" i="10"/>
  <c r="C141" i="10"/>
  <c r="K140" i="10"/>
  <c r="F140" i="10"/>
  <c r="D140" i="10"/>
  <c r="C140" i="10"/>
  <c r="K139" i="10"/>
  <c r="F139" i="10"/>
  <c r="G139" i="10" s="1"/>
  <c r="D139" i="10"/>
  <c r="C139" i="10"/>
  <c r="K138" i="10"/>
  <c r="F138" i="10"/>
  <c r="D138" i="10"/>
  <c r="C138" i="10"/>
  <c r="K137" i="10"/>
  <c r="F137" i="10"/>
  <c r="D137" i="10"/>
  <c r="C137" i="10"/>
  <c r="K136" i="10"/>
  <c r="F136" i="10"/>
  <c r="D136" i="10"/>
  <c r="C136" i="10"/>
  <c r="K135" i="10"/>
  <c r="F135" i="10"/>
  <c r="G135" i="10" s="1"/>
  <c r="D135" i="10"/>
  <c r="C135" i="10"/>
  <c r="K134" i="10"/>
  <c r="F134" i="10"/>
  <c r="G134" i="10" s="1"/>
  <c r="D134" i="10"/>
  <c r="C134" i="10"/>
  <c r="K133" i="10"/>
  <c r="F133" i="10"/>
  <c r="D133" i="10"/>
  <c r="C133" i="10"/>
  <c r="K132" i="10"/>
  <c r="F132" i="10"/>
  <c r="D132" i="10"/>
  <c r="C132" i="10"/>
  <c r="K131" i="10"/>
  <c r="F131" i="10"/>
  <c r="G131" i="10" s="1"/>
  <c r="D131" i="10"/>
  <c r="C131" i="10"/>
  <c r="K130" i="10"/>
  <c r="F130" i="10"/>
  <c r="G130" i="10" s="1"/>
  <c r="D130" i="10"/>
  <c r="C130" i="10"/>
  <c r="K129" i="10"/>
  <c r="F129" i="10"/>
  <c r="D129" i="10"/>
  <c r="C129" i="10"/>
  <c r="K128" i="10"/>
  <c r="F128" i="10"/>
  <c r="D128" i="10"/>
  <c r="C128" i="10"/>
  <c r="E128" i="10" s="1"/>
  <c r="K127" i="10"/>
  <c r="F127" i="10"/>
  <c r="G127" i="10" s="1"/>
  <c r="D127" i="10"/>
  <c r="C127" i="10"/>
  <c r="K126" i="10"/>
  <c r="F126" i="10"/>
  <c r="G126" i="10" s="1"/>
  <c r="D126" i="10"/>
  <c r="C126" i="10"/>
  <c r="K125" i="10"/>
  <c r="F125" i="10"/>
  <c r="G125" i="10" s="1"/>
  <c r="D125" i="10"/>
  <c r="C125" i="10"/>
  <c r="K124" i="10"/>
  <c r="F124" i="10"/>
  <c r="D124" i="10"/>
  <c r="C124" i="10"/>
  <c r="K123" i="10"/>
  <c r="F123" i="10"/>
  <c r="G123" i="10" s="1"/>
  <c r="D123" i="10"/>
  <c r="C123" i="10"/>
  <c r="K122" i="10"/>
  <c r="F122" i="10"/>
  <c r="D122" i="10"/>
  <c r="C122" i="10"/>
  <c r="K121" i="10"/>
  <c r="F121" i="10"/>
  <c r="G121" i="10" s="1"/>
  <c r="D121" i="10"/>
  <c r="C121" i="10"/>
  <c r="K120" i="10"/>
  <c r="F120" i="10"/>
  <c r="D120" i="10"/>
  <c r="C120" i="10"/>
  <c r="K119" i="10"/>
  <c r="F119" i="10"/>
  <c r="G119" i="10" s="1"/>
  <c r="D119" i="10"/>
  <c r="C119" i="10"/>
  <c r="K118" i="10"/>
  <c r="F118" i="10"/>
  <c r="G118" i="10" s="1"/>
  <c r="D118" i="10"/>
  <c r="C118" i="10"/>
  <c r="K117" i="10"/>
  <c r="F117" i="10"/>
  <c r="D117" i="10"/>
  <c r="C117" i="10"/>
  <c r="K116" i="10"/>
  <c r="F116" i="10"/>
  <c r="G116" i="10" s="1"/>
  <c r="D116" i="10"/>
  <c r="C116" i="10"/>
  <c r="K115" i="10"/>
  <c r="F115" i="10"/>
  <c r="G115" i="10" s="1"/>
  <c r="I115" i="10" s="1"/>
  <c r="D115" i="10"/>
  <c r="C115" i="10"/>
  <c r="K114" i="10"/>
  <c r="F114" i="10"/>
  <c r="G114" i="10" s="1"/>
  <c r="D114" i="10"/>
  <c r="K113" i="10"/>
  <c r="F113" i="10"/>
  <c r="G113" i="10" s="1"/>
  <c r="D113" i="10"/>
  <c r="C113" i="10"/>
  <c r="E113" i="10" s="1"/>
  <c r="K112" i="10"/>
  <c r="F112" i="10"/>
  <c r="G112" i="10" s="1"/>
  <c r="D112" i="10"/>
  <c r="C112" i="10"/>
  <c r="K111" i="10"/>
  <c r="F111" i="10"/>
  <c r="G111" i="10" s="1"/>
  <c r="D111" i="10"/>
  <c r="C111" i="10"/>
  <c r="E111" i="10" s="1"/>
  <c r="K110" i="10"/>
  <c r="F110" i="10"/>
  <c r="G110" i="10" s="1"/>
  <c r="D110" i="10"/>
  <c r="C110" i="10"/>
  <c r="K109" i="10"/>
  <c r="F109" i="10"/>
  <c r="D109" i="10"/>
  <c r="C109" i="10"/>
  <c r="K108" i="10"/>
  <c r="F108" i="10"/>
  <c r="G108" i="10" s="1"/>
  <c r="D108" i="10"/>
  <c r="C108" i="10"/>
  <c r="K107" i="10"/>
  <c r="F107" i="10"/>
  <c r="G107" i="10" s="1"/>
  <c r="D107" i="10"/>
  <c r="C107" i="10"/>
  <c r="K106" i="10"/>
  <c r="F106" i="10"/>
  <c r="G106" i="10" s="1"/>
  <c r="I106" i="10" s="1"/>
  <c r="D106" i="10"/>
  <c r="C106" i="10"/>
  <c r="K105" i="10"/>
  <c r="F105" i="10"/>
  <c r="G105" i="10" s="1"/>
  <c r="D105" i="10"/>
  <c r="C105" i="10"/>
  <c r="E105" i="10" s="1"/>
  <c r="K104" i="10"/>
  <c r="F104" i="10"/>
  <c r="D104" i="10"/>
  <c r="C104" i="10"/>
  <c r="E104" i="10" s="1"/>
  <c r="K103" i="10"/>
  <c r="F103" i="10"/>
  <c r="G103" i="10" s="1"/>
  <c r="D103" i="10"/>
  <c r="C103" i="10"/>
  <c r="K102" i="10"/>
  <c r="F102" i="10"/>
  <c r="G102" i="10" s="1"/>
  <c r="D102" i="10"/>
  <c r="C102" i="10"/>
  <c r="K101" i="10"/>
  <c r="F101" i="10"/>
  <c r="D101" i="10"/>
  <c r="C101" i="10"/>
  <c r="E101" i="10" s="1"/>
  <c r="K100" i="10"/>
  <c r="F100" i="10"/>
  <c r="G100" i="10" s="1"/>
  <c r="D100" i="10"/>
  <c r="C100" i="10"/>
  <c r="K99" i="10"/>
  <c r="F99" i="10"/>
  <c r="G99" i="10" s="1"/>
  <c r="D99" i="10"/>
  <c r="C99" i="10"/>
  <c r="K98" i="10"/>
  <c r="F98" i="10"/>
  <c r="G98" i="10" s="1"/>
  <c r="D98" i="10"/>
  <c r="C98" i="10"/>
  <c r="K97" i="10"/>
  <c r="F97" i="10"/>
  <c r="G97" i="10" s="1"/>
  <c r="D97" i="10"/>
  <c r="C97" i="10"/>
  <c r="K96" i="10"/>
  <c r="F96" i="10"/>
  <c r="G96" i="10" s="1"/>
  <c r="D96" i="10"/>
  <c r="C96" i="10"/>
  <c r="K95" i="10"/>
  <c r="F95" i="10"/>
  <c r="G95" i="10" s="1"/>
  <c r="D95" i="10"/>
  <c r="C95" i="10"/>
  <c r="E95" i="10" s="1"/>
  <c r="K94" i="10"/>
  <c r="F94" i="10"/>
  <c r="G94" i="10" s="1"/>
  <c r="D94" i="10"/>
  <c r="C94" i="10"/>
  <c r="E94" i="10" s="1"/>
  <c r="K93" i="10"/>
  <c r="F93" i="10"/>
  <c r="G93" i="10" s="1"/>
  <c r="D93" i="10"/>
  <c r="C93" i="10"/>
  <c r="K92" i="10"/>
  <c r="F92" i="10"/>
  <c r="G92" i="10" s="1"/>
  <c r="D92" i="10"/>
  <c r="C92" i="10"/>
  <c r="K91" i="10"/>
  <c r="F91" i="10"/>
  <c r="G91" i="10" s="1"/>
  <c r="I91" i="10" s="1"/>
  <c r="D91" i="10"/>
  <c r="C91" i="10"/>
  <c r="K90" i="10"/>
  <c r="F90" i="10"/>
  <c r="G90" i="10" s="1"/>
  <c r="D90" i="10"/>
  <c r="C90" i="10"/>
  <c r="K89" i="10"/>
  <c r="F89" i="10"/>
  <c r="D89" i="10"/>
  <c r="C89" i="10"/>
  <c r="E89" i="10" s="1"/>
  <c r="K88" i="10"/>
  <c r="F88" i="10"/>
  <c r="G88" i="10" s="1"/>
  <c r="D88" i="10"/>
  <c r="C88" i="10"/>
  <c r="K87" i="10"/>
  <c r="F87" i="10"/>
  <c r="G87" i="10" s="1"/>
  <c r="D87" i="10"/>
  <c r="C87" i="10"/>
  <c r="K86" i="10"/>
  <c r="F86" i="10"/>
  <c r="D86" i="10"/>
  <c r="C86" i="10"/>
  <c r="K85" i="10"/>
  <c r="F85" i="10"/>
  <c r="D85" i="10"/>
  <c r="C85" i="10"/>
  <c r="E85" i="10" s="1"/>
  <c r="K84" i="10"/>
  <c r="F84" i="10"/>
  <c r="G84" i="10" s="1"/>
  <c r="D84" i="10"/>
  <c r="C84" i="10"/>
  <c r="K83" i="10"/>
  <c r="F83" i="10"/>
  <c r="G83" i="10" s="1"/>
  <c r="D83" i="10"/>
  <c r="C83" i="10"/>
  <c r="K82" i="10"/>
  <c r="F82" i="10"/>
  <c r="D82" i="10"/>
  <c r="C82" i="10"/>
  <c r="E82" i="10" s="1"/>
  <c r="K81" i="10"/>
  <c r="F81" i="10"/>
  <c r="D81" i="10"/>
  <c r="C81" i="10"/>
  <c r="E81" i="10" s="1"/>
  <c r="K80" i="10"/>
  <c r="F80" i="10"/>
  <c r="G80" i="10" s="1"/>
  <c r="D80" i="10"/>
  <c r="C80" i="10"/>
  <c r="K79" i="10"/>
  <c r="F79" i="10"/>
  <c r="G79" i="10" s="1"/>
  <c r="D79" i="10"/>
  <c r="C79" i="10"/>
  <c r="K78" i="10"/>
  <c r="F78" i="10"/>
  <c r="D78" i="10"/>
  <c r="C78" i="10"/>
  <c r="E78" i="10" s="1"/>
  <c r="K77" i="10"/>
  <c r="F77" i="10"/>
  <c r="D77" i="10"/>
  <c r="C77" i="10"/>
  <c r="E77" i="10" s="1"/>
  <c r="K76" i="10"/>
  <c r="F76" i="10"/>
  <c r="G76" i="10" s="1"/>
  <c r="D76" i="10"/>
  <c r="C76" i="10"/>
  <c r="K75" i="10"/>
  <c r="F75" i="10"/>
  <c r="G75" i="10" s="1"/>
  <c r="D75" i="10"/>
  <c r="C75" i="10"/>
  <c r="K74" i="10"/>
  <c r="F74" i="10"/>
  <c r="D74" i="10"/>
  <c r="C74" i="10"/>
  <c r="E74" i="10" s="1"/>
  <c r="K73" i="10"/>
  <c r="F73" i="10"/>
  <c r="D73" i="10"/>
  <c r="C73" i="10"/>
  <c r="K72" i="10"/>
  <c r="F72" i="10"/>
  <c r="G72" i="10" s="1"/>
  <c r="D72" i="10"/>
  <c r="C72" i="10"/>
  <c r="K71" i="10"/>
  <c r="F71" i="10"/>
  <c r="G71" i="10" s="1"/>
  <c r="D71" i="10"/>
  <c r="C71" i="10"/>
  <c r="K70" i="10"/>
  <c r="F70" i="10"/>
  <c r="D70" i="10"/>
  <c r="C70" i="10"/>
  <c r="K69" i="10"/>
  <c r="F69" i="10"/>
  <c r="D69" i="10"/>
  <c r="C69" i="10"/>
  <c r="E69" i="10" s="1"/>
  <c r="K68" i="10"/>
  <c r="F68" i="10"/>
  <c r="G68" i="10" s="1"/>
  <c r="D68" i="10"/>
  <c r="C68" i="10"/>
  <c r="K67" i="10"/>
  <c r="F67" i="10"/>
  <c r="G67" i="10" s="1"/>
  <c r="D67" i="10"/>
  <c r="C67" i="10"/>
  <c r="K66" i="10"/>
  <c r="F66" i="10"/>
  <c r="D66" i="10"/>
  <c r="C66" i="10"/>
  <c r="K65" i="10"/>
  <c r="F65" i="10"/>
  <c r="D65" i="10"/>
  <c r="C65" i="10"/>
  <c r="E65" i="10" s="1"/>
  <c r="K64" i="10"/>
  <c r="F64" i="10"/>
  <c r="G64" i="10" s="1"/>
  <c r="D64" i="10"/>
  <c r="C64" i="10"/>
  <c r="K63" i="10"/>
  <c r="F63" i="10"/>
  <c r="G63" i="10" s="1"/>
  <c r="D63" i="10"/>
  <c r="C63" i="10"/>
  <c r="K62" i="10"/>
  <c r="F62" i="10"/>
  <c r="D62" i="10"/>
  <c r="C62" i="10"/>
  <c r="K61" i="10"/>
  <c r="F61" i="10"/>
  <c r="G61" i="10" s="1"/>
  <c r="D61" i="10"/>
  <c r="C61" i="10"/>
  <c r="K60" i="10"/>
  <c r="F60" i="10"/>
  <c r="G60" i="10" s="1"/>
  <c r="D60" i="10"/>
  <c r="C60" i="10"/>
  <c r="K59" i="10"/>
  <c r="F59" i="10"/>
  <c r="G59" i="10" s="1"/>
  <c r="D59" i="10"/>
  <c r="C59" i="10"/>
  <c r="E59" i="10" s="1"/>
  <c r="K58" i="10"/>
  <c r="F58" i="10"/>
  <c r="D58" i="10"/>
  <c r="C58" i="10"/>
  <c r="E58" i="10" s="1"/>
  <c r="K57" i="10"/>
  <c r="F57" i="10"/>
  <c r="G57" i="10" s="1"/>
  <c r="D57" i="10"/>
  <c r="C57" i="10"/>
  <c r="K56" i="10"/>
  <c r="F56" i="10"/>
  <c r="G56" i="10" s="1"/>
  <c r="D56" i="10"/>
  <c r="C56" i="10"/>
  <c r="E56" i="10" s="1"/>
  <c r="K55" i="10"/>
  <c r="F55" i="10"/>
  <c r="G55" i="10" s="1"/>
  <c r="D55" i="10"/>
  <c r="C55" i="10"/>
  <c r="E55" i="10" s="1"/>
  <c r="K54" i="10"/>
  <c r="F54" i="10"/>
  <c r="G54" i="10" s="1"/>
  <c r="D54" i="10"/>
  <c r="C54" i="10"/>
  <c r="K53" i="10"/>
  <c r="F53" i="10"/>
  <c r="G53" i="10" s="1"/>
  <c r="D53" i="10"/>
  <c r="C53" i="10"/>
  <c r="K52" i="10"/>
  <c r="F52" i="10"/>
  <c r="G52" i="10" s="1"/>
  <c r="D52" i="10"/>
  <c r="C52" i="10"/>
  <c r="E52" i="10" s="1"/>
  <c r="K51" i="10"/>
  <c r="F51" i="10"/>
  <c r="D51" i="10"/>
  <c r="C51" i="10"/>
  <c r="E51" i="10" s="1"/>
  <c r="K50" i="10"/>
  <c r="F50" i="10"/>
  <c r="G50" i="10" s="1"/>
  <c r="D50" i="10"/>
  <c r="C50" i="10"/>
  <c r="P52" i="10"/>
  <c r="K49" i="10"/>
  <c r="F49" i="10"/>
  <c r="G49" i="10" s="1"/>
  <c r="D49" i="10"/>
  <c r="C49" i="10"/>
  <c r="P51" i="10"/>
  <c r="K48" i="10"/>
  <c r="F48" i="10"/>
  <c r="D48" i="10"/>
  <c r="C48" i="10"/>
  <c r="K47" i="10"/>
  <c r="F47" i="10"/>
  <c r="G47" i="10" s="1"/>
  <c r="D47" i="10"/>
  <c r="C47" i="10"/>
  <c r="K46" i="10"/>
  <c r="F46" i="10"/>
  <c r="G46" i="10" s="1"/>
  <c r="D46" i="10"/>
  <c r="C46" i="10"/>
  <c r="K45" i="10"/>
  <c r="F45" i="10"/>
  <c r="D45" i="10"/>
  <c r="C45" i="10"/>
  <c r="V44" i="10"/>
  <c r="K44" i="10"/>
  <c r="F44" i="10"/>
  <c r="G44" i="10" s="1"/>
  <c r="D44" i="10"/>
  <c r="C44" i="10"/>
  <c r="V43" i="10"/>
  <c r="K43" i="10"/>
  <c r="F43" i="10"/>
  <c r="G43" i="10" s="1"/>
  <c r="D43" i="10"/>
  <c r="C43" i="10"/>
  <c r="K42" i="10"/>
  <c r="F42" i="10"/>
  <c r="G42" i="10" s="1"/>
  <c r="D42" i="10"/>
  <c r="C42" i="10"/>
  <c r="K41" i="10"/>
  <c r="F41" i="10"/>
  <c r="D41" i="10"/>
  <c r="C41" i="10"/>
  <c r="E41" i="10" s="1"/>
  <c r="K40" i="10"/>
  <c r="F40" i="10"/>
  <c r="D40" i="10"/>
  <c r="C40" i="10"/>
  <c r="E40" i="10" s="1"/>
  <c r="K39" i="10"/>
  <c r="F39" i="10"/>
  <c r="G39" i="10" s="1"/>
  <c r="D39" i="10"/>
  <c r="C39" i="10"/>
  <c r="K38" i="10"/>
  <c r="F38" i="10"/>
  <c r="G38" i="10" s="1"/>
  <c r="D38" i="10"/>
  <c r="C38" i="10"/>
  <c r="K37" i="10"/>
  <c r="F37" i="10"/>
  <c r="D37" i="10"/>
  <c r="C37" i="10"/>
  <c r="E37" i="10" s="1"/>
  <c r="K36" i="10"/>
  <c r="F36" i="10"/>
  <c r="D36" i="10"/>
  <c r="C36" i="10"/>
  <c r="E36" i="10" s="1"/>
  <c r="K35" i="10"/>
  <c r="F35" i="10"/>
  <c r="G35" i="10" s="1"/>
  <c r="D35" i="10"/>
  <c r="C35" i="10"/>
  <c r="K34" i="10"/>
  <c r="F34" i="10"/>
  <c r="G34" i="10" s="1"/>
  <c r="D34" i="10"/>
  <c r="C34" i="10"/>
  <c r="K33" i="10"/>
  <c r="F33" i="10"/>
  <c r="D33" i="10"/>
  <c r="C33" i="10"/>
  <c r="K32" i="10"/>
  <c r="F32" i="10"/>
  <c r="D32" i="10"/>
  <c r="C32" i="10"/>
  <c r="E32" i="10" s="1"/>
  <c r="K31" i="10"/>
  <c r="F31" i="10"/>
  <c r="G31" i="10" s="1"/>
  <c r="D31" i="10"/>
  <c r="C31" i="10"/>
  <c r="K30" i="10"/>
  <c r="F30" i="10"/>
  <c r="G30" i="10" s="1"/>
  <c r="D30" i="10"/>
  <c r="C30" i="10"/>
  <c r="K29" i="10"/>
  <c r="F29" i="10"/>
  <c r="D29" i="10"/>
  <c r="C29" i="10"/>
  <c r="E29" i="10" s="1"/>
  <c r="K28" i="10"/>
  <c r="F28" i="10"/>
  <c r="D28" i="10"/>
  <c r="C28" i="10"/>
  <c r="E28" i="10" s="1"/>
  <c r="K27" i="10"/>
  <c r="F27" i="10"/>
  <c r="G27" i="10" s="1"/>
  <c r="D27" i="10"/>
  <c r="C27" i="10"/>
  <c r="K26" i="10"/>
  <c r="F26" i="10"/>
  <c r="G26" i="10" s="1"/>
  <c r="D26" i="10"/>
  <c r="C26" i="10"/>
  <c r="K25" i="10"/>
  <c r="F25" i="10"/>
  <c r="D25" i="10"/>
  <c r="C25" i="10"/>
  <c r="E25" i="10" s="1"/>
  <c r="K24" i="10"/>
  <c r="F24" i="10"/>
  <c r="D24" i="10"/>
  <c r="C24" i="10"/>
  <c r="E24" i="10" s="1"/>
  <c r="K23" i="10"/>
  <c r="F23" i="10"/>
  <c r="G23" i="10" s="1"/>
  <c r="D23" i="10"/>
  <c r="C23" i="10"/>
  <c r="K22" i="10"/>
  <c r="F22" i="10"/>
  <c r="G22" i="10" s="1"/>
  <c r="D22" i="10"/>
  <c r="C22" i="10"/>
  <c r="K21" i="10"/>
  <c r="F21" i="10"/>
  <c r="D21" i="10"/>
  <c r="C21" i="10"/>
  <c r="E21" i="10" s="1"/>
  <c r="K20" i="10"/>
  <c r="F20" i="10"/>
  <c r="D20" i="10"/>
  <c r="C20" i="10"/>
  <c r="E20" i="10" s="1"/>
  <c r="K19" i="10"/>
  <c r="F19" i="10"/>
  <c r="G19" i="10" s="1"/>
  <c r="D19" i="10"/>
  <c r="C19" i="10"/>
  <c r="K18" i="10"/>
  <c r="F18" i="10"/>
  <c r="G18" i="10" s="1"/>
  <c r="D18" i="10"/>
  <c r="C18" i="10"/>
  <c r="K17" i="10"/>
  <c r="F17" i="10"/>
  <c r="D17" i="10"/>
  <c r="C17" i="10"/>
  <c r="K16" i="10"/>
  <c r="F16" i="10"/>
  <c r="D16" i="10"/>
  <c r="C16" i="10"/>
  <c r="K15" i="10"/>
  <c r="F15" i="10"/>
  <c r="G15" i="10" s="1"/>
  <c r="D15" i="10"/>
  <c r="C15" i="10"/>
  <c r="K14" i="10"/>
  <c r="F14" i="10"/>
  <c r="G14" i="10" s="1"/>
  <c r="D14" i="10"/>
  <c r="C14" i="10"/>
  <c r="K13" i="10"/>
  <c r="F13" i="10"/>
  <c r="D13" i="10"/>
  <c r="C13" i="10"/>
  <c r="K12" i="10"/>
  <c r="F12" i="10"/>
  <c r="D12" i="10"/>
  <c r="C12" i="10"/>
  <c r="E12" i="10" s="1"/>
  <c r="K11" i="10"/>
  <c r="F11" i="10"/>
  <c r="G11" i="10" s="1"/>
  <c r="D11" i="10"/>
  <c r="C11" i="10"/>
  <c r="K10" i="10"/>
  <c r="G10" i="10"/>
  <c r="D10" i="10"/>
  <c r="C10" i="10"/>
  <c r="H10" i="10" s="1"/>
  <c r="V68" i="9"/>
  <c r="U68" i="9"/>
  <c r="V67" i="9"/>
  <c r="U67" i="9"/>
  <c r="V66" i="9"/>
  <c r="U66" i="9"/>
  <c r="V65" i="9"/>
  <c r="U65" i="9"/>
  <c r="V64" i="9"/>
  <c r="U64" i="9"/>
  <c r="V63" i="9"/>
  <c r="U63" i="9"/>
  <c r="V62" i="9"/>
  <c r="U62" i="9"/>
  <c r="V61" i="9"/>
  <c r="U61" i="9"/>
  <c r="V60" i="9"/>
  <c r="U60" i="9"/>
  <c r="V59" i="9"/>
  <c r="U59" i="9"/>
  <c r="V58" i="9"/>
  <c r="U58" i="9"/>
  <c r="V57" i="9"/>
  <c r="U57" i="9"/>
  <c r="V56" i="9"/>
  <c r="U56" i="9"/>
  <c r="V55" i="9"/>
  <c r="U55" i="9"/>
  <c r="V54" i="9"/>
  <c r="U54" i="9"/>
  <c r="V53" i="9"/>
  <c r="U53" i="9"/>
  <c r="V52" i="9"/>
  <c r="U52" i="9"/>
  <c r="V51" i="9"/>
  <c r="U51" i="9"/>
  <c r="V50" i="9"/>
  <c r="U50" i="9"/>
  <c r="V49" i="9"/>
  <c r="U49" i="9"/>
  <c r="V48" i="9"/>
  <c r="U48" i="9"/>
  <c r="V47" i="9"/>
  <c r="U47" i="9"/>
  <c r="V46" i="9"/>
  <c r="U46" i="9"/>
  <c r="V45" i="9"/>
  <c r="U45" i="9"/>
  <c r="V44" i="9"/>
  <c r="U44" i="9"/>
  <c r="V43" i="9"/>
  <c r="U43" i="9"/>
  <c r="V42" i="9"/>
  <c r="U42" i="9"/>
  <c r="V41" i="9"/>
  <c r="U41" i="9"/>
  <c r="V40" i="9"/>
  <c r="U40" i="9"/>
  <c r="V39" i="9"/>
  <c r="U39" i="9"/>
  <c r="V38" i="9"/>
  <c r="U38" i="9"/>
  <c r="V37" i="9"/>
  <c r="U37" i="9"/>
  <c r="V36" i="9"/>
  <c r="U36" i="9"/>
  <c r="V35" i="9"/>
  <c r="U35" i="9"/>
  <c r="V34" i="9"/>
  <c r="U34" i="9"/>
  <c r="V33" i="9"/>
  <c r="U33" i="9"/>
  <c r="V32" i="9"/>
  <c r="U32" i="9"/>
  <c r="V31" i="9"/>
  <c r="U31" i="9"/>
  <c r="V30" i="9"/>
  <c r="U30" i="9"/>
  <c r="V29" i="9"/>
  <c r="U29" i="9"/>
  <c r="V28" i="9"/>
  <c r="U28" i="9"/>
  <c r="V27" i="9"/>
  <c r="U27" i="9"/>
  <c r="V26" i="9"/>
  <c r="U26" i="9"/>
  <c r="V25" i="9"/>
  <c r="U25" i="9"/>
  <c r="AF24" i="9"/>
  <c r="V24" i="9"/>
  <c r="U24" i="9"/>
  <c r="AF23" i="9"/>
  <c r="V23" i="9"/>
  <c r="U23" i="9"/>
  <c r="AF22" i="9"/>
  <c r="V22" i="9"/>
  <c r="U22" i="9"/>
  <c r="AF21" i="9"/>
  <c r="V21" i="9"/>
  <c r="U21" i="9"/>
  <c r="AF20" i="9"/>
  <c r="V20" i="9"/>
  <c r="U20" i="9"/>
  <c r="AF19" i="9"/>
  <c r="V19" i="9"/>
  <c r="U19" i="9"/>
  <c r="AF18" i="9"/>
  <c r="V18" i="9"/>
  <c r="U18" i="9"/>
  <c r="AF17" i="9"/>
  <c r="V17" i="9"/>
  <c r="U17" i="9"/>
  <c r="AF16" i="9"/>
  <c r="U16" i="9"/>
  <c r="AF15" i="9"/>
  <c r="U15" i="9"/>
  <c r="AF14" i="9"/>
  <c r="U14" i="9"/>
  <c r="AF13" i="9"/>
  <c r="U13" i="9"/>
  <c r="AF12" i="9"/>
  <c r="U12" i="9"/>
  <c r="AF11" i="9"/>
  <c r="U11" i="9"/>
  <c r="AF10" i="9"/>
  <c r="U10" i="9"/>
  <c r="AF9" i="9"/>
  <c r="U9" i="9"/>
  <c r="U8" i="9"/>
  <c r="U7" i="9"/>
  <c r="U6" i="9"/>
  <c r="I242" i="10" l="1"/>
  <c r="I158" i="10"/>
  <c r="E166" i="10"/>
  <c r="E220" i="10"/>
  <c r="E153" i="10"/>
  <c r="E217" i="10"/>
  <c r="I222" i="10"/>
  <c r="E182" i="10"/>
  <c r="I125" i="10"/>
  <c r="E209" i="10"/>
  <c r="I234" i="10"/>
  <c r="I250" i="10"/>
  <c r="G76" i="8"/>
  <c r="G75" i="8" s="1"/>
  <c r="G80" i="8" s="1"/>
  <c r="F36" i="8"/>
  <c r="F29" i="8"/>
  <c r="F30" i="8" s="1"/>
  <c r="G25" i="8"/>
  <c r="I63" i="8"/>
  <c r="J63" i="8" s="1"/>
  <c r="B40" i="8"/>
  <c r="J66" i="8"/>
  <c r="I65" i="8"/>
  <c r="J65" i="8" s="1"/>
  <c r="I67" i="8"/>
  <c r="F58" i="8"/>
  <c r="D58" i="8"/>
  <c r="J64" i="8"/>
  <c r="K64" i="8" s="1"/>
  <c r="K66" i="8"/>
  <c r="J68" i="8"/>
  <c r="I62" i="8"/>
  <c r="H59" i="8"/>
  <c r="B57" i="8"/>
  <c r="B58" i="8"/>
  <c r="C57" i="8"/>
  <c r="C58" i="8"/>
  <c r="H61" i="8"/>
  <c r="E58" i="8"/>
  <c r="H60" i="8"/>
  <c r="E37" i="8"/>
  <c r="F37" i="8"/>
  <c r="B23" i="8"/>
  <c r="B22" i="8"/>
  <c r="E30" i="8"/>
  <c r="C30" i="8"/>
  <c r="B30" i="8"/>
  <c r="B28" i="8"/>
  <c r="E42" i="8"/>
  <c r="F14" i="8"/>
  <c r="F35" i="8" s="1"/>
  <c r="G35" i="8" s="1"/>
  <c r="O23" i="12"/>
  <c r="O24" i="12" s="1"/>
  <c r="C42" i="8"/>
  <c r="D42" i="8"/>
  <c r="F42" i="8"/>
  <c r="B21" i="8"/>
  <c r="B56" i="8"/>
  <c r="E180" i="10"/>
  <c r="E13" i="10"/>
  <c r="E61" i="10"/>
  <c r="E68" i="10"/>
  <c r="B16" i="3"/>
  <c r="D17" i="3"/>
  <c r="C8" i="1"/>
  <c r="C20" i="1"/>
  <c r="B17" i="1"/>
  <c r="C18" i="8"/>
  <c r="F7" i="1"/>
  <c r="B8" i="1"/>
  <c r="F21" i="1"/>
  <c r="F20" i="1"/>
  <c r="F18" i="8"/>
  <c r="D8" i="1"/>
  <c r="C21" i="1"/>
  <c r="D80" i="3"/>
  <c r="F8" i="1"/>
  <c r="D21" i="1"/>
  <c r="E20" i="1"/>
  <c r="D18" i="8"/>
  <c r="E9" i="3"/>
  <c r="E16" i="3" s="1"/>
  <c r="E18" i="8"/>
  <c r="E52" i="3"/>
  <c r="E9" i="1"/>
  <c r="E8" i="1"/>
  <c r="E7" i="1"/>
  <c r="I90" i="10"/>
  <c r="I111" i="10"/>
  <c r="I93" i="10"/>
  <c r="E185" i="10"/>
  <c r="E205" i="10"/>
  <c r="D32" i="8"/>
  <c r="B32" i="8"/>
  <c r="C32" i="8"/>
  <c r="B67" i="3"/>
  <c r="B59" i="3"/>
  <c r="C67" i="3"/>
  <c r="C59" i="3"/>
  <c r="E67" i="3"/>
  <c r="E59" i="3"/>
  <c r="D67" i="3"/>
  <c r="C37" i="3"/>
  <c r="B37" i="3"/>
  <c r="C16" i="3"/>
  <c r="D16" i="3"/>
  <c r="D52" i="3"/>
  <c r="D37" i="3"/>
  <c r="E132" i="10"/>
  <c r="I71" i="10"/>
  <c r="F67" i="3"/>
  <c r="F59" i="3"/>
  <c r="C52" i="3"/>
  <c r="B52" i="3"/>
  <c r="F52" i="3"/>
  <c r="E37" i="3"/>
  <c r="E45" i="10"/>
  <c r="E124" i="10"/>
  <c r="E177" i="10"/>
  <c r="F37" i="3"/>
  <c r="F16" i="3"/>
  <c r="E86" i="10"/>
  <c r="E154" i="10"/>
  <c r="I215" i="10"/>
  <c r="E121" i="10"/>
  <c r="E136" i="10"/>
  <c r="E168" i="10"/>
  <c r="E165" i="10"/>
  <c r="E169" i="10"/>
  <c r="E133" i="10"/>
  <c r="E207" i="10"/>
  <c r="E73" i="10"/>
  <c r="E213" i="10"/>
  <c r="E129" i="10"/>
  <c r="E140" i="10"/>
  <c r="E161" i="10"/>
  <c r="E181" i="10"/>
  <c r="E193" i="10"/>
  <c r="E186" i="10"/>
  <c r="E192" i="10"/>
  <c r="E102" i="10"/>
  <c r="I49" i="10"/>
  <c r="E120" i="10"/>
  <c r="H63" i="10"/>
  <c r="H75" i="10"/>
  <c r="H148" i="10"/>
  <c r="H151" i="10"/>
  <c r="E16" i="10"/>
  <c r="E117" i="10"/>
  <c r="H230" i="10"/>
  <c r="P45" i="10"/>
  <c r="H212" i="10"/>
  <c r="E119" i="10"/>
  <c r="E137" i="10"/>
  <c r="H21" i="10"/>
  <c r="H25" i="10"/>
  <c r="H33" i="10"/>
  <c r="E246" i="10"/>
  <c r="H250" i="10"/>
  <c r="H254" i="10"/>
  <c r="H154" i="10"/>
  <c r="H166" i="10"/>
  <c r="H169" i="10"/>
  <c r="H174" i="10"/>
  <c r="H177" i="10"/>
  <c r="H182" i="10"/>
  <c r="H185" i="10"/>
  <c r="H223" i="10"/>
  <c r="E224" i="10"/>
  <c r="I107" i="10"/>
  <c r="E144" i="10"/>
  <c r="E70" i="10"/>
  <c r="H134" i="10"/>
  <c r="E250" i="10"/>
  <c r="E229" i="10"/>
  <c r="H14" i="10"/>
  <c r="H18" i="10"/>
  <c r="H79" i="10"/>
  <c r="E97" i="10"/>
  <c r="H137" i="10"/>
  <c r="I147" i="10"/>
  <c r="H163" i="10"/>
  <c r="H202" i="10"/>
  <c r="E202" i="10"/>
  <c r="E211" i="10"/>
  <c r="H226" i="10"/>
  <c r="H227" i="10"/>
  <c r="E228" i="10"/>
  <c r="E230" i="10"/>
  <c r="I105" i="10"/>
  <c r="E253" i="10"/>
  <c r="E103" i="10"/>
  <c r="P44" i="10"/>
  <c r="E53" i="10"/>
  <c r="H91" i="10"/>
  <c r="E93" i="10"/>
  <c r="H94" i="10"/>
  <c r="H171" i="10"/>
  <c r="H179" i="10"/>
  <c r="I186" i="10"/>
  <c r="H219" i="10"/>
  <c r="E234" i="10"/>
  <c r="H238" i="10"/>
  <c r="E145" i="10"/>
  <c r="I10" i="10"/>
  <c r="H30" i="10"/>
  <c r="H54" i="10"/>
  <c r="H112" i="10"/>
  <c r="H167" i="10"/>
  <c r="E170" i="10"/>
  <c r="H183" i="10"/>
  <c r="I190" i="10"/>
  <c r="I99" i="10"/>
  <c r="H44" i="10"/>
  <c r="I59" i="10"/>
  <c r="E172" i="10"/>
  <c r="H175" i="10"/>
  <c r="E178" i="10"/>
  <c r="H190" i="10"/>
  <c r="E200" i="10"/>
  <c r="E226" i="10"/>
  <c r="H242" i="10"/>
  <c r="I246" i="10"/>
  <c r="H17" i="10"/>
  <c r="I52" i="10"/>
  <c r="H55" i="10"/>
  <c r="H69" i="10"/>
  <c r="H83" i="10"/>
  <c r="H95" i="10"/>
  <c r="I96" i="10"/>
  <c r="E112" i="10"/>
  <c r="I113" i="10"/>
  <c r="E125" i="10"/>
  <c r="H146" i="10"/>
  <c r="E148" i="10"/>
  <c r="H170" i="10"/>
  <c r="H178" i="10"/>
  <c r="J177" i="10" s="1"/>
  <c r="H187" i="10"/>
  <c r="I198" i="10"/>
  <c r="I206" i="10"/>
  <c r="H215" i="10"/>
  <c r="I226" i="10"/>
  <c r="I230" i="10"/>
  <c r="E238" i="10"/>
  <c r="H243" i="10"/>
  <c r="H246" i="10"/>
  <c r="E254" i="10"/>
  <c r="H255" i="10"/>
  <c r="E64" i="10"/>
  <c r="E66" i="10"/>
  <c r="I97" i="10"/>
  <c r="H34" i="10"/>
  <c r="H37" i="10"/>
  <c r="H41" i="10"/>
  <c r="I43" i="10"/>
  <c r="H45" i="10"/>
  <c r="I53" i="10"/>
  <c r="E54" i="10"/>
  <c r="H87" i="10"/>
  <c r="I94" i="10"/>
  <c r="H109" i="10"/>
  <c r="H115" i="10"/>
  <c r="J114" i="10" s="1"/>
  <c r="H130" i="10"/>
  <c r="H133" i="10"/>
  <c r="E141" i="10"/>
  <c r="H150" i="10"/>
  <c r="E158" i="10"/>
  <c r="H173" i="10"/>
  <c r="H181" i="10"/>
  <c r="H194" i="10"/>
  <c r="H200" i="10"/>
  <c r="H208" i="10"/>
  <c r="I210" i="10"/>
  <c r="I223" i="10"/>
  <c r="I238" i="10"/>
  <c r="E242" i="10"/>
  <c r="I54" i="10"/>
  <c r="I55" i="10"/>
  <c r="I63" i="10"/>
  <c r="I46" i="10"/>
  <c r="H67" i="10"/>
  <c r="H71" i="10"/>
  <c r="E17" i="10"/>
  <c r="I22" i="10"/>
  <c r="H26" i="10"/>
  <c r="I38" i="10"/>
  <c r="E62" i="10"/>
  <c r="G138" i="10"/>
  <c r="I138" i="10" s="1"/>
  <c r="H138" i="10"/>
  <c r="I42" i="10"/>
  <c r="I60" i="10"/>
  <c r="I95" i="10"/>
  <c r="G155" i="10"/>
  <c r="I155" i="10" s="1"/>
  <c r="H155" i="10"/>
  <c r="H46" i="10"/>
  <c r="E110" i="10"/>
  <c r="H110" i="10"/>
  <c r="G120" i="10"/>
  <c r="I120" i="10" s="1"/>
  <c r="H120" i="10"/>
  <c r="H162" i="10"/>
  <c r="G162" i="10"/>
  <c r="I162" i="10" s="1"/>
  <c r="I34" i="10"/>
  <c r="H50" i="10"/>
  <c r="H89" i="10"/>
  <c r="H102" i="10"/>
  <c r="H145" i="10"/>
  <c r="J145" i="10" s="1"/>
  <c r="G145" i="10"/>
  <c r="H247" i="10"/>
  <c r="I26" i="10"/>
  <c r="I98" i="10"/>
  <c r="H129" i="10"/>
  <c r="G129" i="10"/>
  <c r="I129" i="10" s="1"/>
  <c r="E147" i="10"/>
  <c r="E146" i="10"/>
  <c r="E33" i="10"/>
  <c r="H42" i="10"/>
  <c r="H96" i="10"/>
  <c r="G104" i="10"/>
  <c r="I104" i="10" s="1"/>
  <c r="H104" i="10"/>
  <c r="G149" i="10"/>
  <c r="I148" i="10" s="1"/>
  <c r="H149" i="10"/>
  <c r="I202" i="10"/>
  <c r="I18" i="10"/>
  <c r="H22" i="10"/>
  <c r="H38" i="10"/>
  <c r="H51" i="10"/>
  <c r="H59" i="10"/>
  <c r="H77" i="10"/>
  <c r="H81" i="10"/>
  <c r="H85" i="10"/>
  <c r="H13" i="10"/>
  <c r="H29" i="10"/>
  <c r="E44" i="10"/>
  <c r="G45" i="10"/>
  <c r="I45" i="10" s="1"/>
  <c r="E50" i="10"/>
  <c r="E57" i="10"/>
  <c r="E72" i="10"/>
  <c r="H74" i="10"/>
  <c r="H78" i="10"/>
  <c r="E80" i="10"/>
  <c r="H82" i="10"/>
  <c r="E84" i="10"/>
  <c r="H117" i="10"/>
  <c r="G117" i="10"/>
  <c r="I117" i="10" s="1"/>
  <c r="G122" i="10"/>
  <c r="H122" i="10"/>
  <c r="H198" i="10"/>
  <c r="I214" i="10"/>
  <c r="H222" i="10"/>
  <c r="E222" i="10"/>
  <c r="E221" i="10"/>
  <c r="I118" i="10"/>
  <c r="H207" i="10"/>
  <c r="H211" i="10"/>
  <c r="H218" i="10"/>
  <c r="H101" i="10"/>
  <c r="H107" i="10"/>
  <c r="G109" i="10"/>
  <c r="I109" i="10" s="1"/>
  <c r="I110" i="10"/>
  <c r="H111" i="10"/>
  <c r="H126" i="10"/>
  <c r="I130" i="10"/>
  <c r="G133" i="10"/>
  <c r="I133" i="10" s="1"/>
  <c r="H142" i="10"/>
  <c r="G150" i="10"/>
  <c r="I150" i="10" s="1"/>
  <c r="H159" i="10"/>
  <c r="I163" i="10"/>
  <c r="G166" i="10"/>
  <c r="I166" i="10" s="1"/>
  <c r="H186" i="10"/>
  <c r="H188" i="10"/>
  <c r="H196" i="10"/>
  <c r="H206" i="10"/>
  <c r="G208" i="10"/>
  <c r="I207" i="10" s="1"/>
  <c r="H210" i="10"/>
  <c r="G212" i="10"/>
  <c r="I211" i="10" s="1"/>
  <c r="H214" i="10"/>
  <c r="E235" i="10"/>
  <c r="H235" i="10"/>
  <c r="H236" i="10"/>
  <c r="E239" i="10"/>
  <c r="H239" i="10"/>
  <c r="H240" i="10"/>
  <c r="E251" i="10"/>
  <c r="H251" i="10"/>
  <c r="H252" i="10"/>
  <c r="H86" i="10"/>
  <c r="E88" i="10"/>
  <c r="I92" i="10"/>
  <c r="H93" i="10"/>
  <c r="E96" i="10"/>
  <c r="H99" i="10"/>
  <c r="G101" i="10"/>
  <c r="I101" i="10" s="1"/>
  <c r="I102" i="10"/>
  <c r="H103" i="10"/>
  <c r="E109" i="10"/>
  <c r="I112" i="10"/>
  <c r="H125" i="10"/>
  <c r="G137" i="10"/>
  <c r="H141" i="10"/>
  <c r="E150" i="10"/>
  <c r="G154" i="10"/>
  <c r="H158" i="10"/>
  <c r="I167" i="10"/>
  <c r="G170" i="10"/>
  <c r="I170" i="10" s="1"/>
  <c r="G174" i="10"/>
  <c r="I174" i="10" s="1"/>
  <c r="G178" i="10"/>
  <c r="I178" i="10" s="1"/>
  <c r="G182" i="10"/>
  <c r="I182" i="10" s="1"/>
  <c r="E190" i="10"/>
  <c r="E195" i="10"/>
  <c r="G196" i="10"/>
  <c r="I195" i="10" s="1"/>
  <c r="E204" i="10"/>
  <c r="E208" i="10"/>
  <c r="E212" i="10"/>
  <c r="E216" i="10"/>
  <c r="E218" i="10"/>
  <c r="E231" i="10"/>
  <c r="H231" i="10"/>
  <c r="H232" i="10"/>
  <c r="H234" i="10"/>
  <c r="G236" i="10"/>
  <c r="I235" i="10" s="1"/>
  <c r="G240" i="10"/>
  <c r="I239" i="10" s="1"/>
  <c r="G252" i="10"/>
  <c r="I251" i="10" s="1"/>
  <c r="V52" i="10"/>
  <c r="R52" i="10"/>
  <c r="V51" i="10"/>
  <c r="E10" i="10"/>
  <c r="E15" i="10"/>
  <c r="H15" i="10"/>
  <c r="E14" i="10"/>
  <c r="H20" i="10"/>
  <c r="G20" i="10"/>
  <c r="I19" i="10" s="1"/>
  <c r="E31" i="10"/>
  <c r="H31" i="10"/>
  <c r="E30" i="10"/>
  <c r="H36" i="10"/>
  <c r="G36" i="10"/>
  <c r="I35" i="10" s="1"/>
  <c r="E48" i="10"/>
  <c r="H32" i="10"/>
  <c r="G32" i="10"/>
  <c r="I31" i="10" s="1"/>
  <c r="E43" i="10"/>
  <c r="H43" i="10"/>
  <c r="E42" i="10"/>
  <c r="H49" i="10"/>
  <c r="E49" i="10"/>
  <c r="P50" i="10"/>
  <c r="P43" i="10"/>
  <c r="I14" i="10"/>
  <c r="E19" i="10"/>
  <c r="H19" i="10"/>
  <c r="E18" i="10"/>
  <c r="H24" i="10"/>
  <c r="G24" i="10"/>
  <c r="I23" i="10" s="1"/>
  <c r="I30" i="10"/>
  <c r="E35" i="10"/>
  <c r="H35" i="10"/>
  <c r="E34" i="10"/>
  <c r="H40" i="10"/>
  <c r="G40" i="10"/>
  <c r="I39" i="10" s="1"/>
  <c r="P49" i="10"/>
  <c r="H16" i="10"/>
  <c r="G16" i="10"/>
  <c r="I15" i="10" s="1"/>
  <c r="E27" i="10"/>
  <c r="H27" i="10"/>
  <c r="E26" i="10"/>
  <c r="E11" i="10"/>
  <c r="H11" i="10"/>
  <c r="H12" i="10"/>
  <c r="G12" i="10"/>
  <c r="I11" i="10" s="1"/>
  <c r="E23" i="10"/>
  <c r="H23" i="10"/>
  <c r="E22" i="10"/>
  <c r="H28" i="10"/>
  <c r="G28" i="10"/>
  <c r="I27" i="10" s="1"/>
  <c r="E39" i="10"/>
  <c r="H39" i="10"/>
  <c r="E38" i="10"/>
  <c r="H47" i="10"/>
  <c r="E46" i="10"/>
  <c r="E47" i="10"/>
  <c r="G48" i="10"/>
  <c r="I48" i="10" s="1"/>
  <c r="H48" i="10"/>
  <c r="R51" i="10"/>
  <c r="G13" i="10"/>
  <c r="I13" i="10" s="1"/>
  <c r="G17" i="10"/>
  <c r="I17" i="10" s="1"/>
  <c r="G21" i="10"/>
  <c r="I21" i="10" s="1"/>
  <c r="G25" i="10"/>
  <c r="I25" i="10" s="1"/>
  <c r="G29" i="10"/>
  <c r="I29" i="10" s="1"/>
  <c r="G33" i="10"/>
  <c r="I33" i="10" s="1"/>
  <c r="G37" i="10"/>
  <c r="I37" i="10" s="1"/>
  <c r="G41" i="10"/>
  <c r="I41" i="10" s="1"/>
  <c r="H56" i="10"/>
  <c r="H57" i="10"/>
  <c r="E63" i="10"/>
  <c r="H70" i="10"/>
  <c r="G70" i="10"/>
  <c r="I70" i="10" s="1"/>
  <c r="H72" i="10"/>
  <c r="H73" i="10"/>
  <c r="G73" i="10"/>
  <c r="G51" i="10"/>
  <c r="I51" i="10" s="1"/>
  <c r="H52" i="10"/>
  <c r="H66" i="10"/>
  <c r="G66" i="10"/>
  <c r="I66" i="10" s="1"/>
  <c r="H68" i="10"/>
  <c r="H62" i="10"/>
  <c r="G62" i="10"/>
  <c r="I62" i="10" s="1"/>
  <c r="H64" i="10"/>
  <c r="H65" i="10"/>
  <c r="G69" i="10"/>
  <c r="E71" i="10"/>
  <c r="I75" i="10"/>
  <c r="H53" i="10"/>
  <c r="I56" i="10"/>
  <c r="H58" i="10"/>
  <c r="G58" i="10"/>
  <c r="I58" i="10" s="1"/>
  <c r="E60" i="10"/>
  <c r="H60" i="10"/>
  <c r="H61" i="10"/>
  <c r="G65" i="10"/>
  <c r="E67" i="10"/>
  <c r="I67" i="10"/>
  <c r="E76" i="10"/>
  <c r="H76" i="10"/>
  <c r="E75" i="10"/>
  <c r="H128" i="10"/>
  <c r="G128" i="10"/>
  <c r="H136" i="10"/>
  <c r="G136" i="10"/>
  <c r="H144" i="10"/>
  <c r="G144" i="10"/>
  <c r="G77" i="10"/>
  <c r="E79" i="10"/>
  <c r="I79" i="10"/>
  <c r="H80" i="10"/>
  <c r="G81" i="10"/>
  <c r="I80" i="10" s="1"/>
  <c r="E83" i="10"/>
  <c r="I83" i="10"/>
  <c r="H84" i="10"/>
  <c r="G85" i="10"/>
  <c r="I84" i="10" s="1"/>
  <c r="E87" i="10"/>
  <c r="I87" i="10"/>
  <c r="H88" i="10"/>
  <c r="G89" i="10"/>
  <c r="I89" i="10" s="1"/>
  <c r="H90" i="10"/>
  <c r="H98" i="10"/>
  <c r="H106" i="10"/>
  <c r="I114" i="10"/>
  <c r="E127" i="10"/>
  <c r="H127" i="10"/>
  <c r="J127" i="10" s="1"/>
  <c r="E126" i="10"/>
  <c r="E135" i="10"/>
  <c r="H135" i="10"/>
  <c r="E134" i="10"/>
  <c r="E143" i="10"/>
  <c r="H143" i="10"/>
  <c r="E142" i="10"/>
  <c r="H153" i="10"/>
  <c r="G153" i="10"/>
  <c r="G74" i="10"/>
  <c r="I74" i="10" s="1"/>
  <c r="G78" i="10"/>
  <c r="I78" i="10" s="1"/>
  <c r="G82" i="10"/>
  <c r="I82" i="10" s="1"/>
  <c r="G86" i="10"/>
  <c r="I86" i="10" s="1"/>
  <c r="E90" i="10"/>
  <c r="E91" i="10"/>
  <c r="H92" i="10"/>
  <c r="H97" i="10"/>
  <c r="E98" i="10"/>
  <c r="E99" i="10"/>
  <c r="H100" i="10"/>
  <c r="H105" i="10"/>
  <c r="E106" i="10"/>
  <c r="E107" i="10"/>
  <c r="H108" i="10"/>
  <c r="H113" i="10"/>
  <c r="J113" i="10" s="1"/>
  <c r="E115" i="10"/>
  <c r="H116" i="10"/>
  <c r="H119" i="10"/>
  <c r="E118" i="10"/>
  <c r="H121" i="10"/>
  <c r="H124" i="10"/>
  <c r="G124" i="10"/>
  <c r="I124" i="10" s="1"/>
  <c r="I126" i="10"/>
  <c r="H132" i="10"/>
  <c r="G132" i="10"/>
  <c r="I134" i="10"/>
  <c r="H140" i="10"/>
  <c r="G140" i="10"/>
  <c r="I140" i="10" s="1"/>
  <c r="I142" i="10"/>
  <c r="E92" i="10"/>
  <c r="E100" i="10"/>
  <c r="E108" i="10"/>
  <c r="E114" i="10"/>
  <c r="E116" i="10"/>
  <c r="H118" i="10"/>
  <c r="E123" i="10"/>
  <c r="H123" i="10"/>
  <c r="E122" i="10"/>
  <c r="E131" i="10"/>
  <c r="H131" i="10"/>
  <c r="E130" i="10"/>
  <c r="E139" i="10"/>
  <c r="H139" i="10"/>
  <c r="J139" i="10" s="1"/>
  <c r="E138" i="10"/>
  <c r="H161" i="10"/>
  <c r="G161" i="10"/>
  <c r="G146" i="10"/>
  <c r="H147" i="10"/>
  <c r="E149" i="10"/>
  <c r="E156" i="10"/>
  <c r="H156" i="10"/>
  <c r="E155" i="10"/>
  <c r="E164" i="10"/>
  <c r="H164" i="10"/>
  <c r="E163" i="10"/>
  <c r="E152" i="10"/>
  <c r="H152" i="10"/>
  <c r="E151" i="10"/>
  <c r="E160" i="10"/>
  <c r="H160" i="10"/>
  <c r="E159" i="10"/>
  <c r="I151" i="10"/>
  <c r="H157" i="10"/>
  <c r="G157" i="10"/>
  <c r="I157" i="10" s="1"/>
  <c r="I159" i="10"/>
  <c r="H165" i="10"/>
  <c r="J165" i="10" s="1"/>
  <c r="G165" i="10"/>
  <c r="I171" i="10"/>
  <c r="I175" i="10"/>
  <c r="I179" i="10"/>
  <c r="I183" i="10"/>
  <c r="H197" i="10"/>
  <c r="G197" i="10"/>
  <c r="I197" i="10" s="1"/>
  <c r="H199" i="10"/>
  <c r="H217" i="10"/>
  <c r="G217" i="10"/>
  <c r="I217" i="10" s="1"/>
  <c r="H221" i="10"/>
  <c r="G221" i="10"/>
  <c r="I221" i="10" s="1"/>
  <c r="H225" i="10"/>
  <c r="G225" i="10"/>
  <c r="I225" i="10" s="1"/>
  <c r="H245" i="10"/>
  <c r="G245" i="10"/>
  <c r="I245" i="10" s="1"/>
  <c r="E167" i="10"/>
  <c r="H168" i="10"/>
  <c r="G169" i="10"/>
  <c r="E171" i="10"/>
  <c r="H172" i="10"/>
  <c r="G173" i="10"/>
  <c r="E175" i="10"/>
  <c r="H176" i="10"/>
  <c r="G177" i="10"/>
  <c r="E179" i="10"/>
  <c r="H180" i="10"/>
  <c r="G181" i="10"/>
  <c r="E183" i="10"/>
  <c r="H184" i="10"/>
  <c r="G185" i="10"/>
  <c r="I185" i="10" s="1"/>
  <c r="E187" i="10"/>
  <c r="G188" i="10"/>
  <c r="I187" i="10" s="1"/>
  <c r="H193" i="10"/>
  <c r="G193" i="10"/>
  <c r="I193" i="10" s="1"/>
  <c r="H195" i="10"/>
  <c r="G200" i="10"/>
  <c r="I199" i="10" s="1"/>
  <c r="H205" i="10"/>
  <c r="G205" i="10"/>
  <c r="I205" i="10" s="1"/>
  <c r="H229" i="10"/>
  <c r="G229" i="10"/>
  <c r="I229" i="10" s="1"/>
  <c r="H249" i="10"/>
  <c r="G249" i="10"/>
  <c r="I249" i="10" s="1"/>
  <c r="E191" i="10"/>
  <c r="H191" i="10"/>
  <c r="H192" i="10"/>
  <c r="E198" i="10"/>
  <c r="I203" i="10"/>
  <c r="H209" i="10"/>
  <c r="G209" i="10"/>
  <c r="I209" i="10" s="1"/>
  <c r="E215" i="10"/>
  <c r="H216" i="10"/>
  <c r="E219" i="10"/>
  <c r="H220" i="10"/>
  <c r="E223" i="10"/>
  <c r="H224" i="10"/>
  <c r="I227" i="10"/>
  <c r="H233" i="10"/>
  <c r="G233" i="10"/>
  <c r="I233" i="10" s="1"/>
  <c r="H237" i="10"/>
  <c r="G237" i="10"/>
  <c r="I237" i="10" s="1"/>
  <c r="E243" i="10"/>
  <c r="H244" i="10"/>
  <c r="I247" i="10"/>
  <c r="H253" i="10"/>
  <c r="G253" i="10"/>
  <c r="I253" i="10" s="1"/>
  <c r="H189" i="10"/>
  <c r="G189" i="10"/>
  <c r="I189" i="10" s="1"/>
  <c r="G192" i="10"/>
  <c r="I191" i="10" s="1"/>
  <c r="E194" i="10"/>
  <c r="I194" i="10"/>
  <c r="H201" i="10"/>
  <c r="G201" i="10"/>
  <c r="I201" i="10" s="1"/>
  <c r="E203" i="10"/>
  <c r="H203" i="10"/>
  <c r="H204" i="10"/>
  <c r="H213" i="10"/>
  <c r="G213" i="10"/>
  <c r="I213" i="10" s="1"/>
  <c r="E227" i="10"/>
  <c r="H228" i="10"/>
  <c r="I231" i="10"/>
  <c r="H241" i="10"/>
  <c r="J241" i="10" s="1"/>
  <c r="G241" i="10"/>
  <c r="I241" i="10" s="1"/>
  <c r="E247" i="10"/>
  <c r="H248" i="10"/>
  <c r="G255" i="10"/>
  <c r="I254" i="10" s="1"/>
  <c r="C53" i="3" l="1"/>
  <c r="F23" i="1"/>
  <c r="F53" i="3"/>
  <c r="E53" i="3"/>
  <c r="D53" i="3"/>
  <c r="B53" i="3"/>
  <c r="H35" i="8"/>
  <c r="I35" i="8" s="1"/>
  <c r="J35" i="8" s="1"/>
  <c r="K35" i="8" s="1"/>
  <c r="L35" i="8" s="1"/>
  <c r="G32" i="8"/>
  <c r="H32" i="8" s="1"/>
  <c r="I32" i="8" s="1"/>
  <c r="J32" i="8" s="1"/>
  <c r="K32" i="8" s="1"/>
  <c r="L32" i="8" s="1"/>
  <c r="H41" i="8"/>
  <c r="G29" i="8"/>
  <c r="H29" i="8" s="1"/>
  <c r="G57" i="8"/>
  <c r="H57" i="8" s="1"/>
  <c r="I57" i="8" s="1"/>
  <c r="J57" i="8" s="1"/>
  <c r="K57" i="8" s="1"/>
  <c r="L57" i="8" s="1"/>
  <c r="G24" i="8"/>
  <c r="H25" i="8"/>
  <c r="F40" i="8"/>
  <c r="G40" i="8" s="1"/>
  <c r="J67" i="8"/>
  <c r="K67" i="8" s="1"/>
  <c r="K65" i="8"/>
  <c r="K63" i="8"/>
  <c r="K68" i="8"/>
  <c r="L66" i="8"/>
  <c r="L64" i="8"/>
  <c r="I59" i="8"/>
  <c r="G58" i="8"/>
  <c r="I60" i="8"/>
  <c r="I61" i="8"/>
  <c r="J62" i="8"/>
  <c r="B35" i="8"/>
  <c r="B36" i="8"/>
  <c r="B37" i="8"/>
  <c r="D37" i="8"/>
  <c r="D36" i="8"/>
  <c r="C36" i="8"/>
  <c r="C37" i="8"/>
  <c r="C23" i="8"/>
  <c r="C22" i="8"/>
  <c r="E23" i="8"/>
  <c r="E22" i="8"/>
  <c r="D23" i="8"/>
  <c r="D22" i="8"/>
  <c r="F23" i="8"/>
  <c r="F22" i="8"/>
  <c r="I29" i="8"/>
  <c r="J29" i="8" s="1"/>
  <c r="K29" i="8" s="1"/>
  <c r="L29" i="8" s="1"/>
  <c r="G30" i="8"/>
  <c r="H30" i="8" s="1"/>
  <c r="F17" i="1"/>
  <c r="F29" i="1"/>
  <c r="C17" i="1"/>
  <c r="C29" i="1"/>
  <c r="E17" i="1"/>
  <c r="D17" i="1"/>
  <c r="F56" i="8"/>
  <c r="F28" i="8"/>
  <c r="G28" i="8" s="1"/>
  <c r="H28" i="8" s="1"/>
  <c r="I28" i="8" s="1"/>
  <c r="J28" i="8" s="1"/>
  <c r="K28" i="8" s="1"/>
  <c r="L28" i="8" s="1"/>
  <c r="F21" i="8"/>
  <c r="D14" i="1"/>
  <c r="D24" i="1"/>
  <c r="C14" i="1"/>
  <c r="C24" i="1"/>
  <c r="B14" i="1"/>
  <c r="B24" i="1"/>
  <c r="F24" i="1"/>
  <c r="F14" i="1"/>
  <c r="E14" i="1"/>
  <c r="E24" i="1"/>
  <c r="E20" i="3"/>
  <c r="E16" i="1"/>
  <c r="C20" i="3"/>
  <c r="C16" i="1"/>
  <c r="B20" i="3"/>
  <c r="D20" i="3"/>
  <c r="D16" i="1"/>
  <c r="F20" i="3"/>
  <c r="F16" i="1"/>
  <c r="D77" i="3"/>
  <c r="D85" i="3" s="1"/>
  <c r="B77" i="3"/>
  <c r="B85" i="3" s="1"/>
  <c r="C77" i="3"/>
  <c r="C85" i="3" s="1"/>
  <c r="E77" i="3"/>
  <c r="E85" i="3" s="1"/>
  <c r="F77" i="3"/>
  <c r="F85" i="3" s="1"/>
  <c r="J161" i="10"/>
  <c r="J219" i="10"/>
  <c r="J176" i="10"/>
  <c r="J153" i="10"/>
  <c r="J148" i="10"/>
  <c r="J181" i="10"/>
  <c r="J34" i="10"/>
  <c r="J98" i="10"/>
  <c r="J128" i="10"/>
  <c r="J59" i="10"/>
  <c r="J33" i="10"/>
  <c r="J17" i="10"/>
  <c r="J32" i="10"/>
  <c r="J74" i="10"/>
  <c r="J154" i="10"/>
  <c r="J132" i="10"/>
  <c r="J13" i="10"/>
  <c r="J172" i="10"/>
  <c r="J88" i="10"/>
  <c r="J46" i="10"/>
  <c r="J150" i="10"/>
  <c r="J206" i="10"/>
  <c r="J243" i="10"/>
  <c r="J180" i="10"/>
  <c r="J182" i="10"/>
  <c r="J137" i="10"/>
  <c r="I220" i="10"/>
  <c r="J106" i="10"/>
  <c r="I137" i="10"/>
  <c r="J242" i="10"/>
  <c r="J178" i="10"/>
  <c r="J226" i="10"/>
  <c r="J253" i="10"/>
  <c r="J136" i="10"/>
  <c r="J68" i="10"/>
  <c r="J14" i="10"/>
  <c r="J222" i="10"/>
  <c r="J25" i="10"/>
  <c r="J109" i="10"/>
  <c r="J174" i="10"/>
  <c r="J197" i="10"/>
  <c r="J62" i="10"/>
  <c r="J211" i="10"/>
  <c r="J198" i="10"/>
  <c r="J63" i="10"/>
  <c r="J24" i="10"/>
  <c r="J49" i="10"/>
  <c r="J111" i="10"/>
  <c r="J173" i="10"/>
  <c r="J254" i="10"/>
  <c r="J37" i="10"/>
  <c r="J147" i="10"/>
  <c r="J162" i="10"/>
  <c r="J170" i="10"/>
  <c r="J166" i="10"/>
  <c r="J151" i="10"/>
  <c r="J95" i="10"/>
  <c r="J225" i="10"/>
  <c r="J51" i="10"/>
  <c r="J72" i="10"/>
  <c r="J201" i="10"/>
  <c r="J237" i="10"/>
  <c r="J216" i="10"/>
  <c r="J229" i="10"/>
  <c r="J195" i="10"/>
  <c r="I165" i="10"/>
  <c r="J140" i="10"/>
  <c r="J121" i="10"/>
  <c r="J65" i="10"/>
  <c r="J230" i="10"/>
  <c r="J78" i="10"/>
  <c r="J21" i="10"/>
  <c r="J227" i="10"/>
  <c r="J249" i="10"/>
  <c r="J184" i="10"/>
  <c r="J168" i="10"/>
  <c r="J80" i="10"/>
  <c r="J250" i="10"/>
  <c r="J214" i="10"/>
  <c r="J94" i="10"/>
  <c r="P46" i="10"/>
  <c r="P47" i="10" s="1"/>
  <c r="J36" i="10"/>
  <c r="J207" i="10"/>
  <c r="J99" i="10"/>
  <c r="J41" i="10"/>
  <c r="J20" i="10"/>
  <c r="R45" i="10"/>
  <c r="J103" i="10"/>
  <c r="J246" i="10"/>
  <c r="J133" i="10"/>
  <c r="J192" i="10"/>
  <c r="J90" i="10"/>
  <c r="J245" i="10"/>
  <c r="J43" i="10"/>
  <c r="J125" i="10"/>
  <c r="J93" i="10"/>
  <c r="J186" i="10"/>
  <c r="J45" i="10"/>
  <c r="J129" i="10"/>
  <c r="I184" i="10"/>
  <c r="I236" i="10"/>
  <c r="I173" i="10"/>
  <c r="J190" i="10"/>
  <c r="J119" i="10"/>
  <c r="J144" i="10"/>
  <c r="J54" i="10"/>
  <c r="J185" i="10"/>
  <c r="J92" i="10"/>
  <c r="I153" i="10"/>
  <c r="I144" i="10"/>
  <c r="J218" i="10"/>
  <c r="J61" i="10"/>
  <c r="J58" i="10"/>
  <c r="J189" i="10"/>
  <c r="J124" i="10"/>
  <c r="J116" i="10"/>
  <c r="J108" i="10"/>
  <c r="J135" i="10"/>
  <c r="J158" i="10"/>
  <c r="J210" i="10"/>
  <c r="J187" i="10"/>
  <c r="J86" i="10"/>
  <c r="J235" i="10"/>
  <c r="I44" i="10"/>
  <c r="J81" i="10"/>
  <c r="J149" i="10"/>
  <c r="J97" i="10"/>
  <c r="J141" i="10"/>
  <c r="J82" i="10"/>
  <c r="J110" i="10"/>
  <c r="J169" i="10"/>
  <c r="J203" i="10"/>
  <c r="I240" i="10"/>
  <c r="J233" i="10"/>
  <c r="J205" i="10"/>
  <c r="I181" i="10"/>
  <c r="J199" i="10"/>
  <c r="J100" i="10"/>
  <c r="J53" i="10"/>
  <c r="J70" i="10"/>
  <c r="J40" i="10"/>
  <c r="I244" i="10"/>
  <c r="J213" i="10"/>
  <c r="J193" i="10"/>
  <c r="I169" i="10"/>
  <c r="J221" i="10"/>
  <c r="J160" i="10"/>
  <c r="J131" i="10"/>
  <c r="I132" i="10"/>
  <c r="J84" i="10"/>
  <c r="I128" i="10"/>
  <c r="J67" i="10"/>
  <c r="I57" i="10"/>
  <c r="J73" i="10"/>
  <c r="J23" i="10"/>
  <c r="J12" i="10"/>
  <c r="J16" i="10"/>
  <c r="J19" i="10"/>
  <c r="J30" i="10"/>
  <c r="I154" i="10"/>
  <c r="I116" i="10"/>
  <c r="J29" i="10"/>
  <c r="I100" i="10"/>
  <c r="J44" i="10"/>
  <c r="J22" i="10"/>
  <c r="J102" i="10"/>
  <c r="I177" i="10"/>
  <c r="I161" i="10"/>
  <c r="J60" i="10"/>
  <c r="J120" i="10"/>
  <c r="J66" i="10"/>
  <c r="J28" i="10"/>
  <c r="J11" i="10"/>
  <c r="J27" i="10"/>
  <c r="J231" i="10"/>
  <c r="J239" i="10"/>
  <c r="I108" i="10"/>
  <c r="I122" i="10"/>
  <c r="I121" i="10"/>
  <c r="I103" i="10"/>
  <c r="J77" i="10"/>
  <c r="I224" i="10"/>
  <c r="I216" i="10"/>
  <c r="I196" i="10"/>
  <c r="J234" i="10"/>
  <c r="J252" i="10"/>
  <c r="J217" i="10"/>
  <c r="I131" i="10"/>
  <c r="I176" i="10"/>
  <c r="I136" i="10"/>
  <c r="I127" i="10"/>
  <c r="J76" i="10"/>
  <c r="I65" i="10"/>
  <c r="J71" i="10"/>
  <c r="I73" i="10"/>
  <c r="J56" i="10"/>
  <c r="J39" i="10"/>
  <c r="I36" i="10"/>
  <c r="J251" i="10"/>
  <c r="J85" i="10"/>
  <c r="I149" i="10"/>
  <c r="J50" i="10"/>
  <c r="J238" i="10"/>
  <c r="J248" i="10"/>
  <c r="J224" i="10"/>
  <c r="J209" i="10"/>
  <c r="I232" i="10"/>
  <c r="J212" i="10"/>
  <c r="I204" i="10"/>
  <c r="J157" i="10"/>
  <c r="J179" i="10"/>
  <c r="I160" i="10"/>
  <c r="J123" i="10"/>
  <c r="I123" i="10"/>
  <c r="J105" i="10"/>
  <c r="I168" i="10"/>
  <c r="J143" i="10"/>
  <c r="J107" i="10"/>
  <c r="I69" i="10"/>
  <c r="J55" i="10"/>
  <c r="J42" i="10"/>
  <c r="J101" i="10"/>
  <c r="I119" i="10"/>
  <c r="J175" i="10"/>
  <c r="J156" i="10"/>
  <c r="J236" i="10"/>
  <c r="J188" i="10"/>
  <c r="J164" i="10"/>
  <c r="J79" i="10"/>
  <c r="Q52" i="10"/>
  <c r="J10" i="10"/>
  <c r="J247" i="10"/>
  <c r="J228" i="10"/>
  <c r="J204" i="10"/>
  <c r="I192" i="10"/>
  <c r="J244" i="10"/>
  <c r="J220" i="10"/>
  <c r="J215" i="10"/>
  <c r="J194" i="10"/>
  <c r="I252" i="10"/>
  <c r="J240" i="10"/>
  <c r="I208" i="10"/>
  <c r="I200" i="10"/>
  <c r="I248" i="10"/>
  <c r="J232" i="10"/>
  <c r="J208" i="10"/>
  <c r="I164" i="10"/>
  <c r="I156" i="10"/>
  <c r="J163" i="10"/>
  <c r="J155" i="10"/>
  <c r="J200" i="10"/>
  <c r="J171" i="10"/>
  <c r="I146" i="10"/>
  <c r="I145" i="10"/>
  <c r="J142" i="10"/>
  <c r="J134" i="10"/>
  <c r="J126" i="10"/>
  <c r="J118" i="10"/>
  <c r="I172" i="10"/>
  <c r="I152" i="10"/>
  <c r="I135" i="10"/>
  <c r="J117" i="10"/>
  <c r="J91" i="10"/>
  <c r="I72" i="10"/>
  <c r="J96" i="10"/>
  <c r="J64" i="10"/>
  <c r="J104" i="10"/>
  <c r="J75" i="10"/>
  <c r="J52" i="10"/>
  <c r="I68" i="10"/>
  <c r="J57" i="10"/>
  <c r="J48" i="10"/>
  <c r="J47" i="10"/>
  <c r="I12" i="10"/>
  <c r="W44" i="10"/>
  <c r="S52" i="10"/>
  <c r="I40" i="10"/>
  <c r="J35" i="10"/>
  <c r="J26" i="10"/>
  <c r="I32" i="10"/>
  <c r="J69" i="10"/>
  <c r="J38" i="10"/>
  <c r="I20" i="10"/>
  <c r="J15" i="10"/>
  <c r="W52" i="10"/>
  <c r="I228" i="10"/>
  <c r="J183" i="10"/>
  <c r="J167" i="10"/>
  <c r="J159" i="10"/>
  <c r="I139" i="10"/>
  <c r="J146" i="10"/>
  <c r="J138" i="10"/>
  <c r="J130" i="10"/>
  <c r="J122" i="10"/>
  <c r="I143" i="10"/>
  <c r="J115" i="10"/>
  <c r="J89" i="10"/>
  <c r="J87" i="10"/>
  <c r="I64" i="10"/>
  <c r="I28" i="10"/>
  <c r="I16" i="10"/>
  <c r="I47" i="10"/>
  <c r="I24" i="10"/>
  <c r="I50" i="10"/>
  <c r="J31" i="10"/>
  <c r="W51" i="10"/>
  <c r="J223" i="10"/>
  <c r="I212" i="10"/>
  <c r="J191" i="10"/>
  <c r="I188" i="10"/>
  <c r="J202" i="10"/>
  <c r="J196" i="10"/>
  <c r="J152" i="10"/>
  <c r="I180" i="10"/>
  <c r="I85" i="10"/>
  <c r="I81" i="10"/>
  <c r="I77" i="10"/>
  <c r="I88" i="10"/>
  <c r="I76" i="10"/>
  <c r="J83" i="10"/>
  <c r="J112" i="10"/>
  <c r="I61" i="10"/>
  <c r="Q51" i="10"/>
  <c r="W43" i="10"/>
  <c r="J18" i="10"/>
  <c r="P53" i="10" a="1"/>
  <c r="P53" i="10" s="1"/>
  <c r="J8" i="2" s="1"/>
  <c r="R50" i="10"/>
  <c r="R43" i="10"/>
  <c r="R49" i="10"/>
  <c r="R44" i="10"/>
  <c r="S51" i="10"/>
  <c r="D13" i="1" l="1"/>
  <c r="D15" i="1"/>
  <c r="D11" i="1"/>
  <c r="D29" i="1"/>
  <c r="B11" i="1"/>
  <c r="B15" i="1"/>
  <c r="B13" i="1"/>
  <c r="E13" i="1"/>
  <c r="E11" i="1"/>
  <c r="E15" i="1"/>
  <c r="B29" i="1"/>
  <c r="B23" i="1"/>
  <c r="E23" i="1"/>
  <c r="C15" i="1"/>
  <c r="C11" i="1"/>
  <c r="C13" i="1"/>
  <c r="E29" i="1"/>
  <c r="D23" i="1"/>
  <c r="J12" i="2"/>
  <c r="F11" i="1"/>
  <c r="F13" i="1"/>
  <c r="F15" i="1"/>
  <c r="C23" i="1"/>
  <c r="G31" i="8"/>
  <c r="I41" i="8"/>
  <c r="H40" i="8"/>
  <c r="I25" i="8"/>
  <c r="H24" i="8"/>
  <c r="H31" i="8"/>
  <c r="L67" i="8"/>
  <c r="L63" i="8"/>
  <c r="L65" i="8"/>
  <c r="L68" i="8"/>
  <c r="K62" i="8"/>
  <c r="J60" i="8"/>
  <c r="H58" i="8"/>
  <c r="J61" i="8"/>
  <c r="J59" i="8"/>
  <c r="G37" i="8"/>
  <c r="G36" i="8"/>
  <c r="G23" i="8"/>
  <c r="G22" i="8"/>
  <c r="I30" i="8"/>
  <c r="F22" i="3"/>
  <c r="F27" i="1" s="1"/>
  <c r="F24" i="3"/>
  <c r="B22" i="3"/>
  <c r="B28" i="1" s="1"/>
  <c r="B24" i="3"/>
  <c r="E22" i="3"/>
  <c r="E26" i="1" s="1"/>
  <c r="E30" i="1" s="1"/>
  <c r="E24" i="3"/>
  <c r="D22" i="3"/>
  <c r="D27" i="1" s="1"/>
  <c r="D24" i="3"/>
  <c r="C22" i="3"/>
  <c r="C26" i="1" s="1"/>
  <c r="C30" i="1" s="1"/>
  <c r="C24" i="3"/>
  <c r="J14" i="8"/>
  <c r="D28" i="1"/>
  <c r="C28" i="1"/>
  <c r="Q45" i="10"/>
  <c r="R46" i="10"/>
  <c r="R47" i="10" s="1"/>
  <c r="S45" i="10"/>
  <c r="Q49" i="10"/>
  <c r="Q50" i="10"/>
  <c r="Q44" i="10"/>
  <c r="Q53" i="10" a="1"/>
  <c r="Q53" i="10" s="1"/>
  <c r="S49" i="10"/>
  <c r="S44" i="10"/>
  <c r="S50" i="10"/>
  <c r="S43" i="10"/>
  <c r="Q43" i="10"/>
  <c r="H14" i="8"/>
  <c r="I14" i="8"/>
  <c r="G14" i="8"/>
  <c r="C14" i="8"/>
  <c r="C40" i="8" s="1"/>
  <c r="D14" i="8"/>
  <c r="D40" i="8" s="1"/>
  <c r="E14" i="8"/>
  <c r="E40" i="8" s="1"/>
  <c r="F28" i="1" l="1"/>
  <c r="E27" i="1"/>
  <c r="F26" i="1"/>
  <c r="F30" i="1" s="1"/>
  <c r="E28" i="1"/>
  <c r="C27" i="1"/>
  <c r="J13" i="8"/>
  <c r="J41" i="8"/>
  <c r="I13" i="8"/>
  <c r="G13" i="8"/>
  <c r="I31" i="8"/>
  <c r="J25" i="8"/>
  <c r="I24" i="8"/>
  <c r="G39" i="8"/>
  <c r="G38" i="8" s="1"/>
  <c r="H13" i="8"/>
  <c r="I40" i="8"/>
  <c r="J40" i="8" s="1"/>
  <c r="K40" i="8" s="1"/>
  <c r="L40" i="8" s="1"/>
  <c r="H39" i="8"/>
  <c r="K59" i="8"/>
  <c r="L62" i="8"/>
  <c r="K61" i="8"/>
  <c r="K60" i="8"/>
  <c r="I58" i="8"/>
  <c r="H36" i="8"/>
  <c r="H37" i="8"/>
  <c r="I37" i="8" s="1"/>
  <c r="H22" i="8"/>
  <c r="I22" i="8" s="1"/>
  <c r="H23" i="8"/>
  <c r="I23" i="8" s="1"/>
  <c r="J30" i="8"/>
  <c r="B26" i="1"/>
  <c r="B30" i="1" s="1"/>
  <c r="G24" i="3"/>
  <c r="J11" i="2" s="1"/>
  <c r="B27" i="1"/>
  <c r="D26" i="1"/>
  <c r="D30" i="1" s="1"/>
  <c r="C35" i="8"/>
  <c r="C56" i="8"/>
  <c r="E35" i="8"/>
  <c r="E56" i="8"/>
  <c r="D35" i="8"/>
  <c r="D56" i="8"/>
  <c r="D28" i="8"/>
  <c r="D21" i="8"/>
  <c r="E28" i="8"/>
  <c r="E21" i="8"/>
  <c r="C28" i="8"/>
  <c r="C21" i="8"/>
  <c r="D9" i="2"/>
  <c r="C9" i="2"/>
  <c r="E9" i="2"/>
  <c r="Q46" i="10"/>
  <c r="Q47" i="10" s="1"/>
  <c r="S46" i="10"/>
  <c r="S47" i="10" s="1"/>
  <c r="L41" i="8" l="1"/>
  <c r="K41" i="8"/>
  <c r="C17" i="2"/>
  <c r="H38" i="8"/>
  <c r="I39" i="8"/>
  <c r="K25" i="8"/>
  <c r="J24" i="8"/>
  <c r="J31" i="8"/>
  <c r="L60" i="8"/>
  <c r="J58" i="8"/>
  <c r="L61" i="8"/>
  <c r="L59" i="8"/>
  <c r="I36" i="8"/>
  <c r="J37" i="8"/>
  <c r="K37" i="8" s="1"/>
  <c r="J22" i="8"/>
  <c r="K22" i="8" s="1"/>
  <c r="L22" i="8" s="1"/>
  <c r="J23" i="8"/>
  <c r="K23" i="8" s="1"/>
  <c r="K30" i="8"/>
  <c r="G43" i="8"/>
  <c r="G21" i="8"/>
  <c r="G18" i="8" s="1"/>
  <c r="G17" i="8" s="1"/>
  <c r="K14" i="8"/>
  <c r="K13" i="8" s="1"/>
  <c r="I38" i="8" l="1"/>
  <c r="J39" i="8"/>
  <c r="K39" i="8" s="1"/>
  <c r="L39" i="8" s="1"/>
  <c r="M41" i="8"/>
  <c r="P18" i="8" s="1"/>
  <c r="L25" i="8"/>
  <c r="L24" i="8" s="1"/>
  <c r="K24" i="8"/>
  <c r="L31" i="8"/>
  <c r="K31" i="8"/>
  <c r="K58" i="8"/>
  <c r="G44" i="8"/>
  <c r="G49" i="8"/>
  <c r="L37" i="8"/>
  <c r="J36" i="8"/>
  <c r="K36" i="8" s="1"/>
  <c r="L23" i="8"/>
  <c r="L30" i="8"/>
  <c r="H21" i="8"/>
  <c r="F9" i="2"/>
  <c r="L14" i="8"/>
  <c r="L13" i="8" s="1"/>
  <c r="M13" i="8" s="1"/>
  <c r="P13" i="8" s="1"/>
  <c r="J9" i="2"/>
  <c r="J13" i="2" s="1"/>
  <c r="J38" i="8" l="1"/>
  <c r="K38" i="8"/>
  <c r="M24" i="8"/>
  <c r="M31" i="8"/>
  <c r="P16" i="8" s="1"/>
  <c r="G51" i="8"/>
  <c r="G71" i="8" s="1"/>
  <c r="G55" i="8"/>
  <c r="G52" i="8"/>
  <c r="G50" i="8"/>
  <c r="G53" i="8"/>
  <c r="G54" i="8"/>
  <c r="L58" i="8"/>
  <c r="G48" i="8"/>
  <c r="G47" i="8"/>
  <c r="H44" i="8"/>
  <c r="G45" i="8"/>
  <c r="G46" i="8"/>
  <c r="L36" i="8"/>
  <c r="L33" i="8" s="1"/>
  <c r="E15" i="2"/>
  <c r="J33" i="8"/>
  <c r="J34" i="8"/>
  <c r="G15" i="2"/>
  <c r="L34" i="8"/>
  <c r="F15" i="2"/>
  <c r="K34" i="8"/>
  <c r="K33" i="8"/>
  <c r="G34" i="8"/>
  <c r="G33" i="8"/>
  <c r="C15" i="2"/>
  <c r="H33" i="8"/>
  <c r="H34" i="8"/>
  <c r="D15" i="2"/>
  <c r="I33" i="8"/>
  <c r="I34" i="8"/>
  <c r="G19" i="8"/>
  <c r="G20" i="8"/>
  <c r="C12" i="2"/>
  <c r="H26" i="8"/>
  <c r="H27" i="8"/>
  <c r="G26" i="8"/>
  <c r="G27" i="8"/>
  <c r="H43" i="8"/>
  <c r="I21" i="8"/>
  <c r="H18" i="8"/>
  <c r="H17" i="8" s="1"/>
  <c r="G9" i="2"/>
  <c r="G79" i="8" l="1"/>
  <c r="L38" i="8"/>
  <c r="M38" i="8" s="1"/>
  <c r="P17" i="8" s="1"/>
  <c r="C3" i="2"/>
  <c r="C16" i="2" s="1"/>
  <c r="H49" i="8"/>
  <c r="I44" i="8"/>
  <c r="H48" i="8"/>
  <c r="H47" i="8"/>
  <c r="H45" i="8"/>
  <c r="H46" i="8"/>
  <c r="C10" i="2"/>
  <c r="C11" i="2" s="1"/>
  <c r="C13" i="2" s="1"/>
  <c r="C14" i="2" s="1"/>
  <c r="H19" i="8"/>
  <c r="H20" i="8"/>
  <c r="D12" i="2"/>
  <c r="I26" i="8"/>
  <c r="I27" i="8"/>
  <c r="I43" i="8"/>
  <c r="J21" i="8"/>
  <c r="I18" i="8"/>
  <c r="I17" i="8" s="1"/>
  <c r="H53" i="8" l="1"/>
  <c r="H51" i="8"/>
  <c r="H54" i="8"/>
  <c r="H52" i="8"/>
  <c r="H50" i="8"/>
  <c r="H55" i="8"/>
  <c r="D3" i="2"/>
  <c r="D16" i="2" s="1"/>
  <c r="I49" i="8"/>
  <c r="J44" i="8"/>
  <c r="I48" i="8"/>
  <c r="I45" i="8"/>
  <c r="I46" i="8"/>
  <c r="I47" i="8"/>
  <c r="D10" i="2"/>
  <c r="D11" i="2" s="1"/>
  <c r="D13" i="2" s="1"/>
  <c r="I19" i="8"/>
  <c r="I20" i="8"/>
  <c r="E12" i="2"/>
  <c r="J26" i="8"/>
  <c r="J27" i="8"/>
  <c r="J43" i="8"/>
  <c r="K21" i="8"/>
  <c r="J18" i="8"/>
  <c r="J17" i="8" s="1"/>
  <c r="I50" i="8" l="1"/>
  <c r="I54" i="8"/>
  <c r="I52" i="8"/>
  <c r="I53" i="8"/>
  <c r="I55" i="8"/>
  <c r="I51" i="8"/>
  <c r="K44" i="8"/>
  <c r="J48" i="8"/>
  <c r="J45" i="8"/>
  <c r="J47" i="8"/>
  <c r="J46" i="8"/>
  <c r="E3" i="2"/>
  <c r="E16" i="2" s="1"/>
  <c r="J49" i="8"/>
  <c r="E10" i="2"/>
  <c r="E11" i="2" s="1"/>
  <c r="E13" i="2" s="1"/>
  <c r="J19" i="8"/>
  <c r="J20" i="8"/>
  <c r="F12" i="2"/>
  <c r="K26" i="8"/>
  <c r="K27" i="8"/>
  <c r="G12" i="2"/>
  <c r="L26" i="8"/>
  <c r="L27" i="8"/>
  <c r="L43" i="8"/>
  <c r="L49" i="8" s="1"/>
  <c r="K43" i="8"/>
  <c r="L21" i="8"/>
  <c r="L18" i="8" s="1"/>
  <c r="K18" i="8"/>
  <c r="K17" i="8" s="1"/>
  <c r="D14" i="2"/>
  <c r="F2" i="3"/>
  <c r="F112" i="3" s="1"/>
  <c r="E2" i="3"/>
  <c r="E109" i="3" s="1"/>
  <c r="D2" i="3"/>
  <c r="D118" i="3" s="1"/>
  <c r="D7" i="8"/>
  <c r="C2" i="3"/>
  <c r="C119" i="3" s="1"/>
  <c r="E7" i="8"/>
  <c r="B2" i="3"/>
  <c r="B112" i="3" s="1"/>
  <c r="C7" i="8"/>
  <c r="B7" i="8"/>
  <c r="F7" i="8"/>
  <c r="G7" i="8" s="1"/>
  <c r="J116" i="3" l="1"/>
  <c r="J115" i="3"/>
  <c r="E39" i="2"/>
  <c r="H80" i="8"/>
  <c r="E38" i="2"/>
  <c r="J37" i="2" s="1"/>
  <c r="H79" i="8"/>
  <c r="L17" i="8"/>
  <c r="M17" i="8" s="1"/>
  <c r="P14" i="8" s="1"/>
  <c r="L54" i="8"/>
  <c r="L51" i="8"/>
  <c r="L53" i="8"/>
  <c r="L52" i="8"/>
  <c r="L55" i="8"/>
  <c r="L50" i="8"/>
  <c r="E43" i="2"/>
  <c r="J36" i="2" s="1"/>
  <c r="J54" i="8"/>
  <c r="J53" i="8"/>
  <c r="J55" i="8"/>
  <c r="J51" i="8"/>
  <c r="J50" i="8"/>
  <c r="J52" i="8"/>
  <c r="F3" i="2"/>
  <c r="F16" i="2" s="1"/>
  <c r="K49" i="8"/>
  <c r="L44" i="8"/>
  <c r="K48" i="8"/>
  <c r="K45" i="8"/>
  <c r="K46" i="8"/>
  <c r="K47" i="8"/>
  <c r="F10" i="2"/>
  <c r="F11" i="2" s="1"/>
  <c r="F13" i="2" s="1"/>
  <c r="K20" i="8"/>
  <c r="K19" i="8"/>
  <c r="G10" i="2"/>
  <c r="G11" i="2" s="1"/>
  <c r="G13" i="2" s="1"/>
  <c r="G14" i="2" s="1"/>
  <c r="L19" i="8"/>
  <c r="L20" i="8"/>
  <c r="H7" i="8"/>
  <c r="J13" i="11" s="1"/>
  <c r="J38" i="2"/>
  <c r="J40" i="2"/>
  <c r="B131" i="3"/>
  <c r="G3" i="2"/>
  <c r="G16" i="2" s="1"/>
  <c r="E14" i="2"/>
  <c r="E123" i="3"/>
  <c r="E124" i="3"/>
  <c r="B125" i="3"/>
  <c r="D117" i="3"/>
  <c r="D125" i="3"/>
  <c r="B115" i="3"/>
  <c r="B96" i="3"/>
  <c r="B126" i="3"/>
  <c r="B133" i="3"/>
  <c r="B111" i="3"/>
  <c r="B92" i="3"/>
  <c r="B117" i="3"/>
  <c r="B114" i="3"/>
  <c r="B95" i="3"/>
  <c r="B105" i="3"/>
  <c r="B134" i="3"/>
  <c r="B124" i="3"/>
  <c r="B93" i="3"/>
  <c r="C123" i="3"/>
  <c r="C118" i="3"/>
  <c r="C99" i="3"/>
  <c r="C131" i="3"/>
  <c r="C109" i="3"/>
  <c r="C134" i="3"/>
  <c r="C108" i="3"/>
  <c r="C91" i="3"/>
  <c r="C92" i="3"/>
  <c r="C103" i="3"/>
  <c r="D126" i="3"/>
  <c r="D135" i="3"/>
  <c r="D113" i="3"/>
  <c r="D94" i="3"/>
  <c r="D134" i="3"/>
  <c r="D112" i="3"/>
  <c r="D133" i="3"/>
  <c r="D103" i="3"/>
  <c r="D114" i="3"/>
  <c r="D128" i="3"/>
  <c r="D99" i="3"/>
  <c r="E125" i="3"/>
  <c r="E116" i="3"/>
  <c r="E97" i="3"/>
  <c r="E132" i="3"/>
  <c r="E119" i="3"/>
  <c r="E103" i="3"/>
  <c r="E114" i="3"/>
  <c r="E95" i="3"/>
  <c r="E113" i="3"/>
  <c r="E127" i="3"/>
  <c r="F126" i="3"/>
  <c r="F119" i="3"/>
  <c r="F103" i="3"/>
  <c r="F127" i="3"/>
  <c r="F118" i="3"/>
  <c r="F99" i="3"/>
  <c r="F131" i="3"/>
  <c r="F98" i="3"/>
  <c r="F104" i="3"/>
  <c r="F93" i="3"/>
  <c r="B129" i="3"/>
  <c r="B107" i="3"/>
  <c r="B91" i="3"/>
  <c r="B132" i="3"/>
  <c r="B110" i="3"/>
  <c r="B127" i="3"/>
  <c r="B98" i="3"/>
  <c r="B130" i="3"/>
  <c r="B116" i="3"/>
  <c r="C125" i="3"/>
  <c r="C114" i="3"/>
  <c r="C95" i="3"/>
  <c r="C127" i="3"/>
  <c r="C105" i="3"/>
  <c r="C130" i="3"/>
  <c r="C104" i="3"/>
  <c r="C90" i="3"/>
  <c r="C107" i="3"/>
  <c r="C115" i="3"/>
  <c r="D131" i="3"/>
  <c r="D109" i="3"/>
  <c r="D93" i="3"/>
  <c r="D130" i="3"/>
  <c r="D108" i="3"/>
  <c r="D119" i="3"/>
  <c r="D96" i="3"/>
  <c r="D95" i="3"/>
  <c r="D106" i="3"/>
  <c r="E126" i="3"/>
  <c r="E134" i="3"/>
  <c r="E112" i="3"/>
  <c r="E93" i="3"/>
  <c r="E118" i="3"/>
  <c r="E115" i="3"/>
  <c r="E96" i="3"/>
  <c r="E110" i="3"/>
  <c r="E135" i="3"/>
  <c r="E94" i="3"/>
  <c r="E105" i="3"/>
  <c r="F125" i="3"/>
  <c r="F115" i="3"/>
  <c r="F96" i="3"/>
  <c r="F113" i="3"/>
  <c r="F114" i="3"/>
  <c r="F95" i="3"/>
  <c r="F117" i="3"/>
  <c r="F94" i="3"/>
  <c r="F116" i="3"/>
  <c r="F130" i="3"/>
  <c r="B123" i="3"/>
  <c r="B119" i="3"/>
  <c r="B103" i="3"/>
  <c r="B135" i="3"/>
  <c r="B128" i="3"/>
  <c r="B106" i="3"/>
  <c r="B113" i="3"/>
  <c r="B94" i="3"/>
  <c r="B108" i="3"/>
  <c r="B97" i="3"/>
  <c r="C126" i="3"/>
  <c r="C132" i="3"/>
  <c r="C110" i="3"/>
  <c r="C124" i="3"/>
  <c r="C117" i="3"/>
  <c r="J117" i="3" s="1"/>
  <c r="C98" i="3"/>
  <c r="C116" i="3"/>
  <c r="C97" i="3"/>
  <c r="C133" i="3"/>
  <c r="C129" i="3"/>
  <c r="C96" i="3"/>
  <c r="D123" i="3"/>
  <c r="D127" i="3"/>
  <c r="D105" i="3"/>
  <c r="D129" i="3"/>
  <c r="D124" i="3"/>
  <c r="D104" i="3"/>
  <c r="D111" i="3"/>
  <c r="D92" i="3"/>
  <c r="D110" i="3"/>
  <c r="D90" i="3"/>
  <c r="E130" i="3"/>
  <c r="E108" i="3"/>
  <c r="E91" i="3"/>
  <c r="E133" i="3"/>
  <c r="E111" i="3"/>
  <c r="E92" i="3"/>
  <c r="E106" i="3"/>
  <c r="E117" i="3"/>
  <c r="E131" i="3"/>
  <c r="F123" i="3"/>
  <c r="F133" i="3"/>
  <c r="F111" i="3"/>
  <c r="G111" i="3" s="1"/>
  <c r="F92" i="3"/>
  <c r="F132" i="3"/>
  <c r="F110" i="3"/>
  <c r="G110" i="3" s="1"/>
  <c r="F91" i="3"/>
  <c r="F109" i="3"/>
  <c r="F134" i="3"/>
  <c r="F97" i="3"/>
  <c r="F108" i="3"/>
  <c r="B118" i="3"/>
  <c r="G118" i="3" s="1"/>
  <c r="B99" i="3"/>
  <c r="B109" i="3"/>
  <c r="B90" i="3"/>
  <c r="B104" i="3"/>
  <c r="C128" i="3"/>
  <c r="C106" i="3"/>
  <c r="C135" i="3"/>
  <c r="C113" i="3"/>
  <c r="C94" i="3"/>
  <c r="C112" i="3"/>
  <c r="C93" i="3"/>
  <c r="C111" i="3"/>
  <c r="D98" i="3"/>
  <c r="D115" i="3"/>
  <c r="D116" i="3"/>
  <c r="D97" i="3"/>
  <c r="D107" i="3"/>
  <c r="D132" i="3"/>
  <c r="D91" i="3"/>
  <c r="E104" i="3"/>
  <c r="E90" i="3"/>
  <c r="E129" i="3"/>
  <c r="E107" i="3"/>
  <c r="E128" i="3"/>
  <c r="E99" i="3"/>
  <c r="E98" i="3"/>
  <c r="F129" i="3"/>
  <c r="F107" i="3"/>
  <c r="F90" i="3"/>
  <c r="F128" i="3"/>
  <c r="F106" i="3"/>
  <c r="F135" i="3"/>
  <c r="F105" i="3"/>
  <c r="F124" i="3"/>
  <c r="L117" i="3" l="1"/>
  <c r="K116" i="3"/>
  <c r="K115" i="3"/>
  <c r="L115" i="3"/>
  <c r="L116" i="3"/>
  <c r="I117" i="3"/>
  <c r="G117" i="3"/>
  <c r="K117" i="3"/>
  <c r="I116" i="3"/>
  <c r="G119" i="3"/>
  <c r="I115" i="3"/>
  <c r="G109" i="3"/>
  <c r="K51" i="8"/>
  <c r="K54" i="8"/>
  <c r="K53" i="8"/>
  <c r="K50" i="8"/>
  <c r="K52" i="8"/>
  <c r="K55" i="8"/>
  <c r="L48" i="8"/>
  <c r="L45" i="8"/>
  <c r="L46" i="8"/>
  <c r="L47" i="8"/>
  <c r="J39" i="2"/>
  <c r="M38" i="2" s="1"/>
  <c r="I7" i="8"/>
  <c r="J14" i="11" s="1"/>
  <c r="C2" i="2"/>
  <c r="F14" i="2"/>
  <c r="C22" i="2" l="1"/>
  <c r="C28" i="2"/>
  <c r="C25" i="2"/>
  <c r="C23" i="2"/>
  <c r="C29" i="2"/>
  <c r="C27" i="2"/>
  <c r="D2" i="2"/>
  <c r="J7" i="8"/>
  <c r="J15" i="11" s="1"/>
  <c r="E2" i="2" l="1"/>
  <c r="K7" i="8"/>
  <c r="J16" i="11" s="1"/>
  <c r="C24" i="2"/>
  <c r="D22" i="2"/>
  <c r="D28" i="2"/>
  <c r="D25" i="2"/>
  <c r="D29" i="2"/>
  <c r="D23" i="2"/>
  <c r="D27" i="2"/>
  <c r="D24" i="2" l="1"/>
  <c r="C26" i="2"/>
  <c r="L7" i="8"/>
  <c r="F2" i="2"/>
  <c r="E22" i="2"/>
  <c r="E28" i="2"/>
  <c r="E25" i="2"/>
  <c r="E29" i="2"/>
  <c r="E23" i="2"/>
  <c r="E27" i="2"/>
  <c r="E24" i="2" l="1"/>
  <c r="G2" i="2"/>
  <c r="J17" i="11"/>
  <c r="D26" i="2"/>
  <c r="E26" i="2"/>
  <c r="F22" i="2"/>
  <c r="F28" i="2"/>
  <c r="F25" i="2"/>
  <c r="F23" i="2"/>
  <c r="F29" i="2"/>
  <c r="F27" i="2"/>
  <c r="G22" i="2" l="1"/>
  <c r="G29" i="2"/>
  <c r="G27" i="2"/>
  <c r="G23" i="2"/>
  <c r="G28" i="2"/>
  <c r="G25" i="2"/>
  <c r="F24" i="2"/>
  <c r="G24" i="2" l="1"/>
  <c r="F26" i="2"/>
  <c r="F17" i="2"/>
  <c r="F18" i="2" s="1"/>
  <c r="E17" i="2"/>
  <c r="G17" i="2"/>
  <c r="G18" i="2" s="1"/>
  <c r="D17" i="2"/>
  <c r="G26" i="2" l="1"/>
  <c r="C30" i="2"/>
  <c r="C31" i="2" s="1"/>
  <c r="C32" i="2" s="1"/>
  <c r="C18" i="2"/>
  <c r="D30" i="2"/>
  <c r="D31" i="2" s="1"/>
  <c r="D32" i="2" s="1"/>
  <c r="D18" i="2"/>
  <c r="E30" i="2"/>
  <c r="E31" i="2" s="1"/>
  <c r="E32" i="2" s="1"/>
  <c r="E18" i="2"/>
  <c r="G30" i="2"/>
  <c r="F30" i="2"/>
  <c r="F31" i="2" s="1"/>
  <c r="F32" i="2" s="1"/>
  <c r="G31" i="2" l="1"/>
  <c r="E37" i="2" s="1"/>
  <c r="G32" i="2" l="1"/>
  <c r="C33" i="2" s="1"/>
  <c r="E36" i="2" s="1"/>
  <c r="E40" i="2" s="1"/>
  <c r="E4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 Camus</author>
  </authors>
  <commentList>
    <comment ref="E6" authorId="0" shapeId="0" xr:uid="{B7C004A1-82C7-4762-AE9B-43CD241E2801}">
      <text>
        <r>
          <rPr>
            <b/>
            <sz val="9"/>
            <color indexed="81"/>
            <rFont val="Tahoma"/>
            <family val="2"/>
          </rPr>
          <t>Luca Camus:</t>
        </r>
        <r>
          <rPr>
            <sz val="9"/>
            <color indexed="81"/>
            <rFont val="Tahoma"/>
            <family val="2"/>
          </rPr>
          <t xml:space="preserve">
Sin estacionalidad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 Camus</author>
  </authors>
  <commentList>
    <comment ref="G24" authorId="0" shapeId="0" xr:uid="{0DDD4F91-2852-490E-82C5-8F38BDD9E347}">
      <text>
        <r>
          <rPr>
            <b/>
            <sz val="9"/>
            <color indexed="81"/>
            <rFont val="Tahoma"/>
            <family val="2"/>
          </rPr>
          <t>Luca Camus:</t>
        </r>
        <r>
          <rPr>
            <sz val="9"/>
            <color indexed="81"/>
            <rFont val="Tahoma"/>
            <family val="2"/>
          </rPr>
          <t xml:space="preserve">
Promedio de ganancias</t>
        </r>
      </text>
    </comment>
    <comment ref="A38" authorId="0" shapeId="0" xr:uid="{19476801-E339-443D-870E-350A4982CEA2}">
      <text>
        <r>
          <rPr>
            <b/>
            <sz val="9"/>
            <color indexed="81"/>
            <rFont val="Tahoma"/>
            <family val="2"/>
          </rPr>
          <t>Luca Camus:</t>
        </r>
        <r>
          <rPr>
            <sz val="9"/>
            <color indexed="81"/>
            <rFont val="Tahoma"/>
            <family val="2"/>
          </rPr>
          <t xml:space="preserve">
"Comerciales"</t>
        </r>
      </text>
    </comment>
    <comment ref="A78" authorId="0" shapeId="0" xr:uid="{9CAC8256-3D6A-45FA-A1FA-F5AA0C11F2F8}">
      <text>
        <r>
          <rPr>
            <b/>
            <sz val="9"/>
            <color indexed="81"/>
            <rFont val="Tahoma"/>
            <family val="2"/>
          </rPr>
          <t>Luca Camus:</t>
        </r>
        <r>
          <rPr>
            <sz val="9"/>
            <color indexed="81"/>
            <rFont val="Tahoma"/>
            <family val="2"/>
          </rPr>
          <t xml:space="preserve">
"Compra de propiedades, planta y equipo"</t>
        </r>
      </text>
    </comment>
    <comment ref="H106" authorId="0" shapeId="0" xr:uid="{602C4C34-1540-4AFA-8965-B2701AE83344}">
      <text>
        <r>
          <rPr>
            <b/>
            <sz val="9"/>
            <color indexed="81"/>
            <rFont val="Tahoma"/>
            <family val="2"/>
          </rPr>
          <t>Luca Camus:</t>
        </r>
        <r>
          <rPr>
            <sz val="9"/>
            <color indexed="81"/>
            <rFont val="Tahoma"/>
            <family val="2"/>
          </rPr>
          <t xml:space="preserve">
Propiedades de inversión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 Camus</author>
  </authors>
  <commentList>
    <comment ref="M16" authorId="0" shapeId="0" xr:uid="{E9ACFA6E-F3E8-4581-9CBB-EAB6C557A3EA}">
      <text>
        <r>
          <rPr>
            <b/>
            <sz val="9"/>
            <color indexed="81"/>
            <rFont val="Tahoma"/>
            <family val="2"/>
          </rPr>
          <t>Luca Camus:</t>
        </r>
        <r>
          <rPr>
            <sz val="9"/>
            <color indexed="81"/>
            <rFont val="Tahoma"/>
            <family val="2"/>
          </rPr>
          <t xml:space="preserve">
Participacion del campo en el PBI</t>
        </r>
      </text>
    </comment>
    <comment ref="H28" authorId="0" shapeId="0" xr:uid="{B5D3F336-D277-441E-A4BF-7F67947446FC}">
      <text>
        <r>
          <rPr>
            <b/>
            <sz val="9"/>
            <color indexed="81"/>
            <rFont val="Tahoma"/>
            <family val="2"/>
          </rPr>
          <t>Luca Camus:</t>
        </r>
        <r>
          <rPr>
            <sz val="9"/>
            <color indexed="81"/>
            <rFont val="Tahoma"/>
            <family val="2"/>
          </rPr>
          <t xml:space="preserve">
Aumento de la inversión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 Camus</author>
  </authors>
  <commentList>
    <comment ref="J5" authorId="0" shapeId="0" xr:uid="{564B7AC6-7424-4CA7-97AB-FF1CE327D015}">
      <text>
        <r>
          <rPr>
            <b/>
            <sz val="9"/>
            <color indexed="81"/>
            <rFont val="Tahoma"/>
            <family val="2"/>
          </rPr>
          <t>Luca Camus:</t>
        </r>
        <r>
          <rPr>
            <sz val="9"/>
            <color indexed="81"/>
            <rFont val="Tahoma"/>
            <family val="2"/>
          </rPr>
          <t xml:space="preserve">
T-Bill 30 años</t>
        </r>
      </text>
    </comment>
    <comment ref="J7" authorId="0" shapeId="0" xr:uid="{BB0C59CD-9D26-4753-A9EB-883480563477}">
      <text>
        <r>
          <rPr>
            <b/>
            <sz val="9"/>
            <color indexed="81"/>
            <rFont val="Tahoma"/>
            <family val="2"/>
          </rPr>
          <t>Luca Camus:</t>
        </r>
        <r>
          <rPr>
            <sz val="9"/>
            <color indexed="81"/>
            <rFont val="Tahoma"/>
            <family val="2"/>
          </rPr>
          <t xml:space="preserve">
Damodaran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<sst xmlns="http://schemas.openxmlformats.org/spreadsheetml/2006/main" count="452" uniqueCount="271">
  <si>
    <t>Indicador</t>
  </si>
  <si>
    <t>Ratios de liquidez</t>
  </si>
  <si>
    <t>Liquidez corriente</t>
  </si>
  <si>
    <t>Liquidez seca</t>
  </si>
  <si>
    <t>Liquidez de CP</t>
  </si>
  <si>
    <t>Capital de Trabajo</t>
  </si>
  <si>
    <t>Ratios de endeudamiento</t>
  </si>
  <si>
    <t>Endeudamiento sobre PN</t>
  </si>
  <si>
    <t>Endeudamiento sobre AT</t>
  </si>
  <si>
    <t>PT/PN</t>
  </si>
  <si>
    <t>Cobertura de intereses</t>
  </si>
  <si>
    <t>Cobertura de intereses (EBITDA)</t>
  </si>
  <si>
    <t>Rotacion de credito</t>
  </si>
  <si>
    <t>Dias de cobranza</t>
  </si>
  <si>
    <t>Rotacion de inventario</t>
  </si>
  <si>
    <t>Dias de venta</t>
  </si>
  <si>
    <t>Dias de pago</t>
  </si>
  <si>
    <t>Rotacion del activo</t>
  </si>
  <si>
    <t>Ratios de rentabilidad</t>
  </si>
  <si>
    <t>Margen neto</t>
  </si>
  <si>
    <t>ROA</t>
  </si>
  <si>
    <t>ROE</t>
  </si>
  <si>
    <t>ROIC</t>
  </si>
  <si>
    <t>Dupont</t>
  </si>
  <si>
    <t>Revenues</t>
  </si>
  <si>
    <t>Operating Costs</t>
  </si>
  <si>
    <t>Gross Income</t>
  </si>
  <si>
    <t>SG&amp;A</t>
  </si>
  <si>
    <t>EBIT</t>
  </si>
  <si>
    <t>2026E</t>
  </si>
  <si>
    <t>2027E</t>
  </si>
  <si>
    <t>2028E</t>
  </si>
  <si>
    <t>2029E</t>
  </si>
  <si>
    <t>2030E</t>
  </si>
  <si>
    <t>$</t>
  </si>
  <si>
    <t>Dólar promedio</t>
  </si>
  <si>
    <t>Tax</t>
  </si>
  <si>
    <t>D&amp;A</t>
  </si>
  <si>
    <t>Delta Working Capital</t>
  </si>
  <si>
    <t>Capex</t>
  </si>
  <si>
    <t>Tax Rate</t>
  </si>
  <si>
    <t>US$</t>
  </si>
  <si>
    <t>Free Cash Flow to the Firm (FCFF)</t>
  </si>
  <si>
    <t>Discounted FCFF</t>
  </si>
  <si>
    <t>Risk Free</t>
  </si>
  <si>
    <t>Country Risk (EMBI+)</t>
  </si>
  <si>
    <t>Rm</t>
  </si>
  <si>
    <t>Beta</t>
  </si>
  <si>
    <t>Ke</t>
  </si>
  <si>
    <t>Kd (Cost of Capital)</t>
  </si>
  <si>
    <t>E/E+D</t>
  </si>
  <si>
    <t>WACC</t>
  </si>
  <si>
    <t>Perpetuity</t>
  </si>
  <si>
    <t>EV</t>
  </si>
  <si>
    <t>Debt</t>
  </si>
  <si>
    <t>Cash</t>
  </si>
  <si>
    <t>Net Debt</t>
  </si>
  <si>
    <t>2025 Equity</t>
  </si>
  <si>
    <t>Q Shares</t>
  </si>
  <si>
    <t>Target Price</t>
  </si>
  <si>
    <t>Market Price</t>
  </si>
  <si>
    <t>Upside</t>
  </si>
  <si>
    <t>Market Cap</t>
  </si>
  <si>
    <t>EV/EBITDA</t>
  </si>
  <si>
    <t>FINANCIAL STATEMENTS</t>
  </si>
  <si>
    <t>Income Statement</t>
  </si>
  <si>
    <t>Net Financial Results</t>
  </si>
  <si>
    <t>Earnings Before Taxes</t>
  </si>
  <si>
    <t>Income Tax</t>
  </si>
  <si>
    <t>Net Income</t>
  </si>
  <si>
    <t>Others</t>
  </si>
  <si>
    <t>Balance Sheet</t>
  </si>
  <si>
    <t>Cash &amp; ST Investments</t>
  </si>
  <si>
    <t>Receivables</t>
  </si>
  <si>
    <t>Inventories</t>
  </si>
  <si>
    <t>Other receivables</t>
  </si>
  <si>
    <t>Current Assets</t>
  </si>
  <si>
    <t>Fixed Assets</t>
  </si>
  <si>
    <t>Other</t>
  </si>
  <si>
    <t>Total Assets</t>
  </si>
  <si>
    <t>Payables</t>
  </si>
  <si>
    <t>Loans</t>
  </si>
  <si>
    <t>Current Liabilities</t>
  </si>
  <si>
    <t>Non Current Liabilities</t>
  </si>
  <si>
    <t>Non Current Assets</t>
  </si>
  <si>
    <t>Total Liabilities</t>
  </si>
  <si>
    <t>Cash Flow</t>
  </si>
  <si>
    <t>Working Capital</t>
  </si>
  <si>
    <t>Cash Flow from Operating Activities (CFO)</t>
  </si>
  <si>
    <t>CAPEX</t>
  </si>
  <si>
    <t>Cash Flow from Investing Activities (CFI)</t>
  </si>
  <si>
    <t>Dividends</t>
  </si>
  <si>
    <t>Cash Flow from Financing Activities (CFF)</t>
  </si>
  <si>
    <t>Net Changes in Cash</t>
  </si>
  <si>
    <t>Dólar Promedio</t>
  </si>
  <si>
    <t>PESOS ($)</t>
  </si>
  <si>
    <t>Dólares (US$)</t>
  </si>
  <si>
    <t>TP 10, 11 Y 12</t>
  </si>
  <si>
    <t>Alumno</t>
  </si>
  <si>
    <t>Empresa</t>
  </si>
  <si>
    <t>Ticker</t>
  </si>
  <si>
    <t>Variable</t>
  </si>
  <si>
    <t>PBI</t>
  </si>
  <si>
    <t>TC (EOP)</t>
  </si>
  <si>
    <t>Inflacion (EOP)</t>
  </si>
  <si>
    <t>Revenue Model</t>
  </si>
  <si>
    <t>Price</t>
  </si>
  <si>
    <t>Q (Cantidad)</t>
  </si>
  <si>
    <t>COGs</t>
  </si>
  <si>
    <t>Inflacion (AVG)</t>
  </si>
  <si>
    <t>5Y  VAN</t>
  </si>
  <si>
    <t>EBITDA 2025</t>
  </si>
  <si>
    <t>VALUACIÓN DE EMPRESAS - MODELO DCF</t>
  </si>
  <si>
    <t>VAN</t>
  </si>
  <si>
    <t>Luca Camus</t>
  </si>
  <si>
    <t>Agrometal</t>
  </si>
  <si>
    <t>AGRO</t>
  </si>
  <si>
    <t>Fecha</t>
  </si>
  <si>
    <t>MEP diario</t>
  </si>
  <si>
    <t>MEP</t>
  </si>
  <si>
    <t>Etiquetas de fila</t>
  </si>
  <si>
    <t>Promedio de MEP</t>
  </si>
  <si>
    <t>Merval</t>
  </si>
  <si>
    <t>Riesgo país</t>
  </si>
  <si>
    <t>IPC mensual base 2016</t>
  </si>
  <si>
    <t>Inflación mensual</t>
  </si>
  <si>
    <t>Inflacion interanual</t>
  </si>
  <si>
    <t xml:space="preserve">Inflación promedio </t>
  </si>
  <si>
    <t>EMAE base 2004 s.e</t>
  </si>
  <si>
    <t>PBI cte a pesos 2004</t>
  </si>
  <si>
    <t>2020</t>
  </si>
  <si>
    <t>2021</t>
  </si>
  <si>
    <t>2022</t>
  </si>
  <si>
    <t>2023</t>
  </si>
  <si>
    <t>2024</t>
  </si>
  <si>
    <t>2025</t>
  </si>
  <si>
    <t>Total general</t>
  </si>
  <si>
    <t>AGRO $</t>
  </si>
  <si>
    <t>Merval $</t>
  </si>
  <si>
    <t>Rend AGRO</t>
  </si>
  <si>
    <t>Rend Merval</t>
  </si>
  <si>
    <t>AGRO USD</t>
  </si>
  <si>
    <t>Merval USD</t>
  </si>
  <si>
    <t>Rend AGRO2</t>
  </si>
  <si>
    <t>Rend Merval3</t>
  </si>
  <si>
    <t>S&amp;P</t>
  </si>
  <si>
    <t>USD</t>
  </si>
  <si>
    <t>Curtosis</t>
  </si>
  <si>
    <t>Min</t>
  </si>
  <si>
    <t>Simetría</t>
  </si>
  <si>
    <t>Max</t>
  </si>
  <si>
    <t>Rendimiento diario</t>
  </si>
  <si>
    <t>Desviación</t>
  </si>
  <si>
    <t>Observaciones</t>
  </si>
  <si>
    <t>Jarque- Bera</t>
  </si>
  <si>
    <t>p-value</t>
  </si>
  <si>
    <t>TC MEP</t>
  </si>
  <si>
    <t>EMAE base 2004</t>
  </si>
  <si>
    <t>M/M%</t>
  </si>
  <si>
    <t>Inflación anual</t>
  </si>
  <si>
    <t>Gasto de comercialización</t>
  </si>
  <si>
    <t>Gasto de administración</t>
  </si>
  <si>
    <t>Ingresos financieros</t>
  </si>
  <si>
    <t>Egresos financieros</t>
  </si>
  <si>
    <t>Resultado por exposición a los cambios en el poder adquisitivo de la moneda</t>
  </si>
  <si>
    <t>Ingresos y egresos netos</t>
  </si>
  <si>
    <t>Propiedades de inversión</t>
  </si>
  <si>
    <t>Activo por impuesto diferido</t>
  </si>
  <si>
    <t>Créditos por ventas</t>
  </si>
  <si>
    <t>Remuneraciones y Deudas sociales</t>
  </si>
  <si>
    <t>Fiscales</t>
  </si>
  <si>
    <t>Anticipos de Clientes</t>
  </si>
  <si>
    <t>Sociales</t>
  </si>
  <si>
    <t>Más/menos impuestos a las ganancias</t>
  </si>
  <si>
    <t>Ajustes provenientes de act operativas</t>
  </si>
  <si>
    <t>Depreciación de propiedades, planta y equipo</t>
  </si>
  <si>
    <t>Depreciación de propiedades de inversión</t>
  </si>
  <si>
    <t>Provisiones comerciales y sociales</t>
  </si>
  <si>
    <t>Provisión de honorarios al directorio</t>
  </si>
  <si>
    <t>Provisión deterioro de valor créditos</t>
  </si>
  <si>
    <t>Diferencia de conversión de deudas</t>
  </si>
  <si>
    <t>Variación de deudas comerciales</t>
  </si>
  <si>
    <t>Disminución de deudas sociales</t>
  </si>
  <si>
    <t>Disminución de deudas fiscales</t>
  </si>
  <si>
    <t>Disminución de otras deudas</t>
  </si>
  <si>
    <t>Variación de anticipo a clientes</t>
  </si>
  <si>
    <t>Variación de créditos por ventas</t>
  </si>
  <si>
    <t>Variación de otros créditos</t>
  </si>
  <si>
    <t>Pasivo por impuesto diferidos</t>
  </si>
  <si>
    <t>Otras</t>
  </si>
  <si>
    <t>Ganancia/pérdida del ejercicio</t>
  </si>
  <si>
    <t>Variación de bienes de cambio</t>
  </si>
  <si>
    <t>Promedio de PBI cte a pesos 2004</t>
  </si>
  <si>
    <t>Working capital</t>
  </si>
  <si>
    <t>Delta WC</t>
  </si>
  <si>
    <t>Patrimonio Neto</t>
  </si>
  <si>
    <t>Apalancamiento financiero</t>
  </si>
  <si>
    <t>Liquidez operativa</t>
  </si>
  <si>
    <t>% sobre ventas</t>
  </si>
  <si>
    <t>% de vtas</t>
  </si>
  <si>
    <t>DE</t>
  </si>
  <si>
    <t>AGCO</t>
  </si>
  <si>
    <t>CNHI</t>
  </si>
  <si>
    <t>KUBTY</t>
  </si>
  <si>
    <t>Columna1</t>
  </si>
  <si>
    <t>Participación</t>
  </si>
  <si>
    <t>Mercado</t>
  </si>
  <si>
    <t>Facturacion</t>
  </si>
  <si>
    <t>John Deere</t>
  </si>
  <si>
    <t>New Holland</t>
  </si>
  <si>
    <t>Case IH</t>
  </si>
  <si>
    <t>Crucianelli</t>
  </si>
  <si>
    <t>Pauny</t>
  </si>
  <si>
    <t>Metlflor</t>
  </si>
  <si>
    <t>Pla</t>
  </si>
  <si>
    <t>Massey Ferguson</t>
  </si>
  <si>
    <t>Mainero</t>
  </si>
  <si>
    <t>Producción agrícola</t>
  </si>
  <si>
    <t>Fuente: elaboración propia en base a RNM e INDEC</t>
  </si>
  <si>
    <t>Inflation USA</t>
  </si>
  <si>
    <t>Precio promedio 2024</t>
  </si>
  <si>
    <t>Precio Agrometal</t>
  </si>
  <si>
    <t>Sobre precio</t>
  </si>
  <si>
    <t>Precios de la industria</t>
  </si>
  <si>
    <t>1,5; 2%</t>
  </si>
  <si>
    <t>70% optimo</t>
  </si>
  <si>
    <t>10,5-13</t>
  </si>
  <si>
    <t>Compras</t>
  </si>
  <si>
    <t>Gastos de producción</t>
  </si>
  <si>
    <t>Gastos de administración</t>
  </si>
  <si>
    <t>Gastos de comercialización</t>
  </si>
  <si>
    <t>% sobre SG&amp;A</t>
  </si>
  <si>
    <t>% sobre Rev.</t>
  </si>
  <si>
    <t>% sobre COGs</t>
  </si>
  <si>
    <t>% sobre D&amp;A</t>
  </si>
  <si>
    <t>% del Rev</t>
  </si>
  <si>
    <t>% del WC</t>
  </si>
  <si>
    <t>Loans current</t>
  </si>
  <si>
    <t>Loans no current</t>
  </si>
  <si>
    <t>%</t>
  </si>
  <si>
    <t>Revenue</t>
  </si>
  <si>
    <t>Costos operativos</t>
  </si>
  <si>
    <t>Gastos adm</t>
  </si>
  <si>
    <t>Depreciaciones</t>
  </si>
  <si>
    <t>Upside del U$S</t>
  </si>
  <si>
    <t>Upside en $</t>
  </si>
  <si>
    <t>último máximo</t>
  </si>
  <si>
    <t>Respecto al total</t>
  </si>
  <si>
    <t>Año</t>
  </si>
  <si>
    <t>Net income</t>
  </si>
  <si>
    <t>Acciones en circulación</t>
  </si>
  <si>
    <t>EPS</t>
  </si>
  <si>
    <t>P/E</t>
  </si>
  <si>
    <t>Deere&amp;Company</t>
  </si>
  <si>
    <t>AGRO.m</t>
  </si>
  <si>
    <t>Brasilagro</t>
  </si>
  <si>
    <t>LND</t>
  </si>
  <si>
    <t>Itausa</t>
  </si>
  <si>
    <t>ITSA4</t>
  </si>
  <si>
    <t>Adecoagro</t>
  </si>
  <si>
    <t>KubotaCorp</t>
  </si>
  <si>
    <t>AGCO Corporation</t>
  </si>
  <si>
    <t>CNH Industrial NV</t>
  </si>
  <si>
    <t>Promedio</t>
  </si>
  <si>
    <t>2025E</t>
  </si>
  <si>
    <t>P/E target</t>
  </si>
  <si>
    <t>Target price</t>
  </si>
  <si>
    <t>Target price en u$s</t>
  </si>
  <si>
    <t>Market price</t>
  </si>
  <si>
    <t xml:space="preserve">6 y/o 8% MERVAL </t>
  </si>
  <si>
    <t>EMAE interanual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</si>
</sst>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-* #,##0.00_-;\-* #,##0.00_-;_-* &quot;-&quot;??_-;_-@_-"/>
    <numFmt numFmtId="164" formatCode="0.0%"/>
    <numFmt numFmtId="165" formatCode="0.0"/>
    <numFmt numFmtId="166" formatCode="0.0_ ;\-0.0\ "/>
    <numFmt numFmtId="167" formatCode="0.000"/>
    <numFmt numFmtId="168" formatCode="_-* #,##0_-;\-* #,##0_-;_-* &quot;-&quot;??_-;_-@_-"/>
    <numFmt numFmtId="169" formatCode="0.0000000000"/>
    <numFmt numFmtId="170" formatCode="_ [$$-340A]* #,##0.0_ ;_ [$$-340A]* \-#,##0.0_ ;_ [$$-340A]* &quot;-&quot;??_ ;_ @_ "/>
    <numFmt numFmtId="171" formatCode="[$$-2C0A]\ #,##0.0"/>
    <numFmt numFmtId="172" formatCode="_-* #,##0\ _€_-;\-* #,##0\ _€_-;_-* &quot;-&quot;??\ _€_-;_-@_-"/>
    <numFmt numFmtId="173" formatCode="_-* #,##0.00\ _€_-;\-* #,##0.00\ _€_-;_-* &quot;-&quot;??\ _€_-;_-@_-"/>
    <numFmt numFmtId="174" formatCode="_-* #,##0.0\ _€_-;\-* #,##0.0\ _€_-;_-* &quot;-&quot;?\ _€_-;_-@_-"/>
    <numFmt numFmtId="175" formatCode="_-* #,##0.000_-;\-* #,##0.000_-;_-* &quot;-&quot;??_-;_-@_-"/>
    <numFmt numFmtId="176" formatCode="_-[$$-2C0A]\ * #,##0.0_-;\-[$$-2C0A]\ * #,##0.0_-;_-[$$-2C0A]\ * &quot;-&quot;??_-;_-@_-"/>
    <numFmt numFmtId="177" formatCode="_-[$$-2C0A]\ * #,##0.00_-;\-[$$-2C0A]\ * #,##0.00_-;_-[$$-2C0A]\ * &quot;-&quot;??_-;_-@_-"/>
    <numFmt numFmtId="178" formatCode="_-[$$-2C0A]\ * #,##0.000_-;\-[$$-2C0A]\ * #,##0.000_-;_-[$$-2C0A]\ * &quot;-&quot;??_-;_-@_-"/>
    <numFmt numFmtId="179" formatCode="[$-C0A]mmm\-yy;@"/>
  </numFmts>
  <fonts count="3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3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48"/>
      <color theme="0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22"/>
      <color theme="0"/>
      <name val="Aptos Narrow"/>
      <family val="2"/>
      <scheme val="minor"/>
    </font>
    <font>
      <sz val="11"/>
      <color rgb="FF000000"/>
      <name val="Inherit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8"/>
      <color rgb="FF000000"/>
      <name val="Arial"/>
      <family val="2"/>
    </font>
    <font>
      <sz val="11"/>
      <color theme="1"/>
      <name val="Calibri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2"/>
      <color rgb="FF000000"/>
      <name val="Arial"/>
      <family val="2"/>
    </font>
    <font>
      <sz val="11"/>
      <color rgb="FFFF0000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1E568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8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8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0" borderId="1" xfId="0" applyFont="1" applyBorder="1"/>
    <xf numFmtId="0" fontId="0" fillId="0" borderId="4" xfId="0" applyBorder="1"/>
    <xf numFmtId="0" fontId="0" fillId="0" borderId="6" xfId="0" applyBorder="1"/>
    <xf numFmtId="0" fontId="3" fillId="0" borderId="6" xfId="0" applyFont="1" applyBorder="1"/>
    <xf numFmtId="0" fontId="3" fillId="2" borderId="10" xfId="0" applyFont="1" applyFill="1" applyBorder="1"/>
    <xf numFmtId="0" fontId="3" fillId="2" borderId="8" xfId="0" applyFont="1" applyFill="1" applyBorder="1"/>
    <xf numFmtId="10" fontId="7" fillId="0" borderId="11" xfId="0" applyNumberFormat="1" applyFont="1" applyBorder="1"/>
    <xf numFmtId="164" fontId="6" fillId="0" borderId="7" xfId="1" applyNumberFormat="1" applyFont="1" applyBorder="1"/>
    <xf numFmtId="2" fontId="6" fillId="0" borderId="1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2" fontId="6" fillId="0" borderId="1" xfId="0" applyNumberFormat="1" applyFont="1" applyBorder="1"/>
    <xf numFmtId="0" fontId="0" fillId="0" borderId="13" xfId="0" applyBorder="1"/>
    <xf numFmtId="0" fontId="8" fillId="4" borderId="13" xfId="0" applyFont="1" applyFill="1" applyBorder="1"/>
    <xf numFmtId="0" fontId="0" fillId="4" borderId="13" xfId="0" applyFill="1" applyBorder="1"/>
    <xf numFmtId="0" fontId="9" fillId="4" borderId="13" xfId="0" applyFont="1" applyFill="1" applyBorder="1"/>
    <xf numFmtId="0" fontId="0" fillId="0" borderId="14" xfId="0" applyBorder="1"/>
    <xf numFmtId="0" fontId="8" fillId="5" borderId="13" xfId="0" applyFont="1" applyFill="1" applyBorder="1" applyAlignment="1">
      <alignment horizontal="center"/>
    </xf>
    <xf numFmtId="0" fontId="8" fillId="6" borderId="0" xfId="0" applyFont="1" applyFill="1"/>
    <xf numFmtId="0" fontId="8" fillId="6" borderId="13" xfId="0" applyFont="1" applyFill="1" applyBorder="1"/>
    <xf numFmtId="0" fontId="11" fillId="4" borderId="13" xfId="0" applyFont="1" applyFill="1" applyBorder="1"/>
    <xf numFmtId="0" fontId="10" fillId="3" borderId="13" xfId="0" applyFont="1" applyFill="1" applyBorder="1"/>
    <xf numFmtId="0" fontId="11" fillId="6" borderId="13" xfId="0" applyFont="1" applyFill="1" applyBorder="1"/>
    <xf numFmtId="0" fontId="13" fillId="7" borderId="0" xfId="0" applyFont="1" applyFill="1"/>
    <xf numFmtId="0" fontId="9" fillId="7" borderId="0" xfId="0" applyFont="1" applyFill="1"/>
    <xf numFmtId="0" fontId="14" fillId="0" borderId="0" xfId="0" applyFont="1"/>
    <xf numFmtId="0" fontId="12" fillId="0" borderId="1" xfId="0" applyFont="1" applyBorder="1"/>
    <xf numFmtId="0" fontId="15" fillId="0" borderId="1" xfId="0" applyFont="1" applyBorder="1"/>
    <xf numFmtId="0" fontId="3" fillId="0" borderId="13" xfId="0" applyFont="1" applyBorder="1" applyAlignment="1">
      <alignment horizontal="right"/>
    </xf>
    <xf numFmtId="0" fontId="3" fillId="0" borderId="0" xfId="0" applyFont="1"/>
    <xf numFmtId="0" fontId="17" fillId="9" borderId="0" xfId="0" applyFont="1" applyFill="1"/>
    <xf numFmtId="0" fontId="3" fillId="5" borderId="0" xfId="0" applyFont="1" applyFill="1"/>
    <xf numFmtId="0" fontId="3" fillId="5" borderId="0" xfId="0" applyFont="1" applyFill="1" applyAlignment="1">
      <alignment horizontal="center"/>
    </xf>
    <xf numFmtId="164" fontId="16" fillId="8" borderId="5" xfId="0" applyNumberFormat="1" applyFont="1" applyFill="1" applyBorder="1"/>
    <xf numFmtId="164" fontId="16" fillId="8" borderId="7" xfId="0" applyNumberFormat="1" applyFont="1" applyFill="1" applyBorder="1"/>
    <xf numFmtId="9" fontId="16" fillId="8" borderId="7" xfId="0" applyNumberFormat="1" applyFont="1" applyFill="1" applyBorder="1"/>
    <xf numFmtId="10" fontId="16" fillId="8" borderId="7" xfId="0" applyNumberFormat="1" applyFont="1" applyFill="1" applyBorder="1" applyAlignment="1">
      <alignment horizontal="right"/>
    </xf>
    <xf numFmtId="164" fontId="18" fillId="8" borderId="9" xfId="0" applyNumberFormat="1" applyFont="1" applyFill="1" applyBorder="1"/>
    <xf numFmtId="0" fontId="19" fillId="0" borderId="0" xfId="0" applyFont="1"/>
    <xf numFmtId="0" fontId="5" fillId="0" borderId="1" xfId="0" applyFont="1" applyBorder="1"/>
    <xf numFmtId="0" fontId="8" fillId="7" borderId="1" xfId="0" applyFont="1" applyFill="1" applyBorder="1"/>
    <xf numFmtId="0" fontId="8" fillId="7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14" fontId="21" fillId="11" borderId="0" xfId="0" applyNumberFormat="1" applyFont="1" applyFill="1" applyAlignment="1">
      <alignment vertical="center" wrapText="1"/>
    </xf>
    <xf numFmtId="0" fontId="21" fillId="11" borderId="0" xfId="0" applyFont="1" applyFill="1" applyAlignment="1">
      <alignment vertical="center" wrapText="1"/>
    </xf>
    <xf numFmtId="0" fontId="0" fillId="0" borderId="0" xfId="0" applyAlignment="1">
      <alignment horizontal="left"/>
    </xf>
    <xf numFmtId="14" fontId="0" fillId="0" borderId="0" xfId="0" applyNumberFormat="1"/>
    <xf numFmtId="4" fontId="0" fillId="0" borderId="0" xfId="0" applyNumberFormat="1"/>
    <xf numFmtId="17" fontId="22" fillId="0" borderId="13" xfId="0" applyNumberFormat="1" applyFont="1" applyBorder="1" applyAlignment="1">
      <alignment horizontal="center" vertical="center" wrapText="1"/>
    </xf>
    <xf numFmtId="165" fontId="23" fillId="0" borderId="0" xfId="0" applyNumberFormat="1" applyFont="1"/>
    <xf numFmtId="164" fontId="0" fillId="0" borderId="0" xfId="1" applyNumberFormat="1" applyFont="1"/>
    <xf numFmtId="166" fontId="22" fillId="0" borderId="0" xfId="0" applyNumberFormat="1" applyFont="1"/>
    <xf numFmtId="3" fontId="23" fillId="12" borderId="0" xfId="0" applyNumberFormat="1" applyFont="1" applyFill="1"/>
    <xf numFmtId="166" fontId="22" fillId="0" borderId="17" xfId="0" applyNumberFormat="1" applyFont="1" applyBorder="1"/>
    <xf numFmtId="3" fontId="0" fillId="0" borderId="0" xfId="0" applyNumberFormat="1"/>
    <xf numFmtId="167" fontId="0" fillId="0" borderId="0" xfId="0" applyNumberFormat="1"/>
    <xf numFmtId="2" fontId="0" fillId="0" borderId="0" xfId="0" applyNumberFormat="1"/>
    <xf numFmtId="10" fontId="0" fillId="0" borderId="0" xfId="1" applyNumberFormat="1" applyFont="1"/>
    <xf numFmtId="168" fontId="0" fillId="0" borderId="0" xfId="2" applyNumberFormat="1" applyFont="1"/>
    <xf numFmtId="10" fontId="0" fillId="0" borderId="0" xfId="0" applyNumberFormat="1"/>
    <xf numFmtId="169" fontId="0" fillId="0" borderId="0" xfId="0" applyNumberFormat="1"/>
    <xf numFmtId="164" fontId="0" fillId="0" borderId="0" xfId="0" applyNumberFormat="1"/>
    <xf numFmtId="168" fontId="0" fillId="8" borderId="0" xfId="2" applyNumberFormat="1" applyFont="1" applyFill="1" applyAlignment="1">
      <alignment horizontal="center"/>
    </xf>
    <xf numFmtId="168" fontId="0" fillId="8" borderId="13" xfId="2" applyNumberFormat="1" applyFont="1" applyFill="1" applyBorder="1" applyAlignment="1">
      <alignment horizontal="center"/>
    </xf>
    <xf numFmtId="168" fontId="0" fillId="8" borderId="14" xfId="2" applyNumberFormat="1" applyFont="1" applyFill="1" applyBorder="1" applyAlignment="1">
      <alignment horizontal="center"/>
    </xf>
    <xf numFmtId="0" fontId="0" fillId="0" borderId="0" xfId="0" applyBorder="1"/>
    <xf numFmtId="168" fontId="26" fillId="8" borderId="13" xfId="2" applyNumberFormat="1" applyFont="1" applyFill="1" applyBorder="1" applyAlignment="1">
      <alignment horizontal="center"/>
    </xf>
    <xf numFmtId="168" fontId="27" fillId="8" borderId="0" xfId="2" applyNumberFormat="1" applyFont="1" applyFill="1" applyAlignment="1">
      <alignment horizontal="center"/>
    </xf>
    <xf numFmtId="168" fontId="27" fillId="8" borderId="0" xfId="2" applyNumberFormat="1" applyFont="1" applyFill="1" applyBorder="1" applyAlignment="1">
      <alignment horizontal="center"/>
    </xf>
    <xf numFmtId="165" fontId="16" fillId="8" borderId="13" xfId="0" applyNumberFormat="1" applyFont="1" applyFill="1" applyBorder="1" applyAlignment="1">
      <alignment horizontal="center"/>
    </xf>
    <xf numFmtId="168" fontId="0" fillId="0" borderId="0" xfId="2" applyNumberFormat="1" applyFont="1" applyAlignment="1">
      <alignment horizontal="center"/>
    </xf>
    <xf numFmtId="168" fontId="0" fillId="0" borderId="13" xfId="2" applyNumberFormat="1" applyFont="1" applyBorder="1" applyAlignment="1">
      <alignment horizontal="center"/>
    </xf>
    <xf numFmtId="168" fontId="0" fillId="0" borderId="14" xfId="2" applyNumberFormat="1" applyFont="1" applyBorder="1" applyAlignment="1">
      <alignment horizontal="center"/>
    </xf>
    <xf numFmtId="168" fontId="26" fillId="8" borderId="14" xfId="2" applyNumberFormat="1" applyFont="1" applyFill="1" applyBorder="1" applyAlignment="1">
      <alignment horizontal="center"/>
    </xf>
    <xf numFmtId="168" fontId="0" fillId="0" borderId="1" xfId="2" applyNumberFormat="1" applyFont="1" applyBorder="1"/>
    <xf numFmtId="0" fontId="0" fillId="0" borderId="0" xfId="0" pivotButton="1"/>
    <xf numFmtId="0" fontId="0" fillId="0" borderId="0" xfId="0" applyNumberFormat="1"/>
    <xf numFmtId="0" fontId="3" fillId="0" borderId="18" xfId="0" applyFont="1" applyBorder="1" applyAlignment="1">
      <alignment horizontal="left"/>
    </xf>
    <xf numFmtId="0" fontId="3" fillId="0" borderId="18" xfId="0" applyNumberFormat="1" applyFont="1" applyBorder="1"/>
    <xf numFmtId="9" fontId="0" fillId="0" borderId="0" xfId="0" applyNumberFormat="1"/>
    <xf numFmtId="0" fontId="0" fillId="0" borderId="0" xfId="0" applyAlignment="1">
      <alignment horizontal="right"/>
    </xf>
    <xf numFmtId="3" fontId="28" fillId="0" borderId="0" xfId="0" applyNumberFormat="1" applyFont="1" applyFill="1" applyAlignment="1">
      <alignment horizontal="right" vertical="center" wrapText="1" indent="1"/>
    </xf>
    <xf numFmtId="171" fontId="0" fillId="0" borderId="0" xfId="0" applyNumberFormat="1"/>
    <xf numFmtId="2" fontId="16" fillId="8" borderId="1" xfId="0" applyNumberFormat="1" applyFont="1" applyFill="1" applyBorder="1" applyAlignment="1">
      <alignment horizontal="center"/>
    </xf>
    <xf numFmtId="168" fontId="16" fillId="8" borderId="1" xfId="2" applyNumberFormat="1" applyFont="1" applyFill="1" applyBorder="1" applyAlignment="1">
      <alignment horizontal="center"/>
    </xf>
    <xf numFmtId="168" fontId="16" fillId="8" borderId="1" xfId="2" applyNumberFormat="1" applyFont="1" applyFill="1" applyBorder="1"/>
    <xf numFmtId="2" fontId="16" fillId="8" borderId="7" xfId="0" applyNumberFormat="1" applyFont="1" applyFill="1" applyBorder="1"/>
    <xf numFmtId="168" fontId="6" fillId="0" borderId="1" xfId="2" applyNumberFormat="1" applyFont="1" applyBorder="1"/>
    <xf numFmtId="168" fontId="6" fillId="0" borderId="1" xfId="2" applyNumberFormat="1" applyFont="1" applyBorder="1" applyAlignment="1">
      <alignment horizontal="center"/>
    </xf>
    <xf numFmtId="9" fontId="0" fillId="0" borderId="0" xfId="1" applyFont="1"/>
    <xf numFmtId="43" fontId="0" fillId="0" borderId="0" xfId="2" applyFont="1"/>
    <xf numFmtId="43" fontId="6" fillId="0" borderId="1" xfId="2" applyFont="1" applyBorder="1" applyAlignment="1">
      <alignment horizontal="center"/>
    </xf>
    <xf numFmtId="168" fontId="0" fillId="0" borderId="0" xfId="0" applyNumberFormat="1"/>
    <xf numFmtId="2" fontId="0" fillId="0" borderId="1" xfId="0" applyNumberFormat="1" applyBorder="1"/>
    <xf numFmtId="165" fontId="0" fillId="0" borderId="1" xfId="0" applyNumberFormat="1" applyBorder="1"/>
    <xf numFmtId="174" fontId="0" fillId="0" borderId="0" xfId="0" applyNumberFormat="1"/>
    <xf numFmtId="0" fontId="27" fillId="0" borderId="0" xfId="0" applyFont="1"/>
    <xf numFmtId="0" fontId="29" fillId="0" borderId="1" xfId="0" applyFont="1" applyBorder="1"/>
    <xf numFmtId="0" fontId="29" fillId="13" borderId="1" xfId="0" applyFont="1" applyFill="1" applyBorder="1" applyAlignment="1">
      <alignment wrapText="1"/>
    </xf>
    <xf numFmtId="0" fontId="29" fillId="13" borderId="1" xfId="0" applyFont="1" applyFill="1" applyBorder="1"/>
    <xf numFmtId="164" fontId="29" fillId="0" borderId="1" xfId="1" applyNumberFormat="1" applyFont="1" applyBorder="1"/>
    <xf numFmtId="170" fontId="29" fillId="0" borderId="1" xfId="0" applyNumberFormat="1" applyFont="1" applyBorder="1"/>
    <xf numFmtId="170" fontId="29" fillId="0" borderId="1" xfId="2" applyNumberFormat="1" applyFont="1" applyBorder="1"/>
    <xf numFmtId="17" fontId="29" fillId="0" borderId="1" xfId="0" applyNumberFormat="1" applyFont="1" applyBorder="1" applyAlignment="1">
      <alignment horizontal="center" vertical="center" wrapText="1"/>
    </xf>
    <xf numFmtId="165" fontId="29" fillId="0" borderId="1" xfId="0" applyNumberFormat="1" applyFont="1" applyBorder="1"/>
    <xf numFmtId="166" fontId="29" fillId="0" borderId="1" xfId="0" applyNumberFormat="1" applyFont="1" applyBorder="1"/>
    <xf numFmtId="164" fontId="31" fillId="0" borderId="0" xfId="1" applyNumberFormat="1" applyFont="1" applyFill="1" applyAlignment="1">
      <alignment horizontal="right" vertical="center" wrapText="1" indent="1"/>
    </xf>
    <xf numFmtId="168" fontId="31" fillId="0" borderId="0" xfId="2" applyNumberFormat="1" applyFont="1" applyFill="1" applyAlignment="1">
      <alignment horizontal="right" vertical="center" wrapText="1" indent="1"/>
    </xf>
    <xf numFmtId="3" fontId="32" fillId="0" borderId="0" xfId="0" applyNumberFormat="1" applyFont="1" applyFill="1" applyAlignment="1">
      <alignment horizontal="right" vertical="center" wrapText="1" indent="1"/>
    </xf>
    <xf numFmtId="168" fontId="1" fillId="0" borderId="1" xfId="2" applyNumberFormat="1" applyFont="1" applyBorder="1"/>
    <xf numFmtId="168" fontId="30" fillId="0" borderId="1" xfId="2" applyNumberFormat="1" applyFont="1" applyBorder="1"/>
    <xf numFmtId="164" fontId="0" fillId="0" borderId="1" xfId="1" applyNumberFormat="1" applyFont="1" applyBorder="1"/>
    <xf numFmtId="1" fontId="0" fillId="0" borderId="1" xfId="0" applyNumberFormat="1" applyBorder="1"/>
    <xf numFmtId="10" fontId="0" fillId="0" borderId="1" xfId="0" applyNumberFormat="1" applyBorder="1"/>
    <xf numFmtId="9" fontId="0" fillId="0" borderId="1" xfId="1" applyFont="1" applyBorder="1"/>
    <xf numFmtId="0" fontId="33" fillId="0" borderId="0" xfId="0" applyFont="1"/>
    <xf numFmtId="9" fontId="0" fillId="0" borderId="0" xfId="1" applyFont="1" applyFill="1"/>
    <xf numFmtId="0" fontId="0" fillId="0" borderId="0" xfId="0" applyFill="1"/>
    <xf numFmtId="0" fontId="26" fillId="0" borderId="0" xfId="0" applyFont="1"/>
    <xf numFmtId="168" fontId="0" fillId="0" borderId="0" xfId="2" applyNumberFormat="1" applyFont="1" applyFill="1"/>
    <xf numFmtId="168" fontId="0" fillId="0" borderId="0" xfId="2" applyNumberFormat="1" applyFont="1" applyFill="1" applyAlignment="1">
      <alignment horizontal="right"/>
    </xf>
    <xf numFmtId="172" fontId="0" fillId="0" borderId="0" xfId="0" applyNumberFormat="1" applyFill="1" applyAlignment="1">
      <alignment horizontal="right"/>
    </xf>
    <xf numFmtId="1" fontId="0" fillId="0" borderId="0" xfId="0" applyNumberFormat="1" applyFill="1"/>
    <xf numFmtId="43" fontId="0" fillId="0" borderId="17" xfId="2" applyFont="1" applyBorder="1"/>
    <xf numFmtId="43" fontId="27" fillId="0" borderId="13" xfId="2" applyFont="1" applyBorder="1"/>
    <xf numFmtId="43" fontId="0" fillId="0" borderId="13" xfId="2" applyFont="1" applyBorder="1"/>
    <xf numFmtId="0" fontId="0" fillId="0" borderId="17" xfId="0" applyBorder="1"/>
    <xf numFmtId="174" fontId="0" fillId="0" borderId="17" xfId="0" applyNumberFormat="1" applyBorder="1"/>
    <xf numFmtId="174" fontId="0" fillId="0" borderId="13" xfId="0" applyNumberFormat="1" applyBorder="1"/>
    <xf numFmtId="164" fontId="0" fillId="0" borderId="17" xfId="1" applyNumberFormat="1" applyFont="1" applyBorder="1"/>
    <xf numFmtId="164" fontId="0" fillId="0" borderId="17" xfId="0" applyNumberFormat="1" applyBorder="1"/>
    <xf numFmtId="0" fontId="26" fillId="0" borderId="17" xfId="0" applyFont="1" applyBorder="1"/>
    <xf numFmtId="173" fontId="0" fillId="0" borderId="17" xfId="0" applyNumberFormat="1" applyBorder="1"/>
    <xf numFmtId="10" fontId="0" fillId="0" borderId="0" xfId="0" applyNumberFormat="1" applyFill="1"/>
    <xf numFmtId="165" fontId="0" fillId="0" borderId="0" xfId="0" applyNumberFormat="1" applyFill="1"/>
    <xf numFmtId="9" fontId="0" fillId="0" borderId="0" xfId="0" applyNumberFormat="1" applyFill="1"/>
    <xf numFmtId="164" fontId="0" fillId="0" borderId="0" xfId="1" applyNumberFormat="1" applyFont="1" applyFill="1"/>
    <xf numFmtId="175" fontId="16" fillId="8" borderId="1" xfId="2" applyNumberFormat="1" applyFont="1" applyFill="1" applyBorder="1"/>
    <xf numFmtId="9" fontId="0" fillId="0" borderId="0" xfId="1" applyNumberFormat="1" applyFont="1"/>
    <xf numFmtId="168" fontId="6" fillId="14" borderId="1" xfId="2" applyNumberFormat="1" applyFont="1" applyFill="1" applyBorder="1" applyAlignment="1">
      <alignment horizontal="center"/>
    </xf>
    <xf numFmtId="0" fontId="0" fillId="0" borderId="19" xfId="0" applyBorder="1"/>
    <xf numFmtId="0" fontId="34" fillId="0" borderId="0" xfId="0" applyFont="1"/>
    <xf numFmtId="0" fontId="34" fillId="0" borderId="0" xfId="0" applyFont="1" applyFill="1"/>
    <xf numFmtId="9" fontId="16" fillId="0" borderId="0" xfId="1" applyFont="1" applyFill="1"/>
    <xf numFmtId="164" fontId="34" fillId="0" borderId="0" xfId="0" applyNumberFormat="1" applyFont="1"/>
    <xf numFmtId="164" fontId="34" fillId="0" borderId="0" xfId="1" applyNumberFormat="1" applyFont="1"/>
    <xf numFmtId="9" fontId="6" fillId="0" borderId="1" xfId="1" applyFont="1" applyBorder="1"/>
    <xf numFmtId="0" fontId="8" fillId="15" borderId="13" xfId="0" applyFont="1" applyFill="1" applyBorder="1"/>
    <xf numFmtId="0" fontId="8" fillId="15" borderId="13" xfId="0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9" fontId="26" fillId="0" borderId="0" xfId="1" applyFont="1" applyAlignment="1">
      <alignment horizontal="center"/>
    </xf>
    <xf numFmtId="168" fontId="34" fillId="0" borderId="0" xfId="0" applyNumberFormat="1" applyFont="1"/>
    <xf numFmtId="9" fontId="0" fillId="0" borderId="22" xfId="1" applyFont="1" applyBorder="1"/>
    <xf numFmtId="0" fontId="8" fillId="15" borderId="22" xfId="0" applyFont="1" applyFill="1" applyBorder="1" applyAlignment="1">
      <alignment horizontal="center"/>
    </xf>
    <xf numFmtId="9" fontId="0" fillId="0" borderId="23" xfId="1" applyFont="1" applyBorder="1"/>
    <xf numFmtId="9" fontId="0" fillId="0" borderId="0" xfId="1" applyFont="1" applyBorder="1"/>
    <xf numFmtId="9" fontId="0" fillId="0" borderId="24" xfId="1" applyFont="1" applyBorder="1"/>
    <xf numFmtId="0" fontId="0" fillId="0" borderId="25" xfId="0" applyBorder="1"/>
    <xf numFmtId="0" fontId="0" fillId="0" borderId="21" xfId="0" applyBorder="1"/>
    <xf numFmtId="0" fontId="0" fillId="0" borderId="26" xfId="0" applyBorder="1"/>
    <xf numFmtId="0" fontId="0" fillId="0" borderId="27" xfId="0" applyBorder="1"/>
    <xf numFmtId="0" fontId="26" fillId="0" borderId="1" xfId="0" applyFont="1" applyBorder="1"/>
    <xf numFmtId="9" fontId="26" fillId="0" borderId="13" xfId="1" applyFont="1" applyBorder="1"/>
    <xf numFmtId="9" fontId="26" fillId="0" borderId="21" xfId="1" applyFont="1" applyBorder="1"/>
    <xf numFmtId="0" fontId="26" fillId="0" borderId="26" xfId="0" applyFont="1" applyBorder="1"/>
    <xf numFmtId="9" fontId="26" fillId="0" borderId="22" xfId="1" applyFont="1" applyBorder="1"/>
    <xf numFmtId="9" fontId="26" fillId="0" borderId="23" xfId="1" applyFont="1" applyBorder="1"/>
    <xf numFmtId="178" fontId="0" fillId="0" borderId="0" xfId="0" applyNumberFormat="1"/>
    <xf numFmtId="179" fontId="0" fillId="0" borderId="0" xfId="0" applyNumberFormat="1"/>
    <xf numFmtId="175" fontId="0" fillId="0" borderId="0" xfId="2" applyNumberFormat="1" applyFont="1"/>
    <xf numFmtId="0" fontId="0" fillId="0" borderId="0" xfId="0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0" fillId="10" borderId="4" xfId="0" applyFont="1" applyFill="1" applyBorder="1" applyAlignment="1">
      <alignment horizontal="center" vertical="center"/>
    </xf>
    <xf numFmtId="0" fontId="20" fillId="10" borderId="5" xfId="0" applyFont="1" applyFill="1" applyBorder="1" applyAlignment="1">
      <alignment horizontal="center" vertical="center"/>
    </xf>
    <xf numFmtId="0" fontId="20" fillId="10" borderId="6" xfId="0" applyFont="1" applyFill="1" applyBorder="1" applyAlignment="1">
      <alignment horizontal="center" vertical="center"/>
    </xf>
    <xf numFmtId="0" fontId="20" fillId="10" borderId="7" xfId="0" applyFont="1" applyFill="1" applyBorder="1" applyAlignment="1">
      <alignment horizontal="center" vertical="center"/>
    </xf>
    <xf numFmtId="0" fontId="20" fillId="10" borderId="8" xfId="0" applyFont="1" applyFill="1" applyBorder="1" applyAlignment="1">
      <alignment horizontal="center" vertical="center"/>
    </xf>
    <xf numFmtId="0" fontId="20" fillId="10" borderId="9" xfId="0" applyFont="1" applyFill="1" applyBorder="1" applyAlignment="1">
      <alignment horizontal="center" vertical="center"/>
    </xf>
    <xf numFmtId="176" fontId="0" fillId="0" borderId="1" xfId="0" applyNumberFormat="1" applyBorder="1"/>
    <xf numFmtId="177" fontId="0" fillId="0" borderId="1" xfId="0" applyNumberFormat="1" applyBorder="1"/>
    <xf numFmtId="0" fontId="0" fillId="0" borderId="1" xfId="0" applyBorder="1" applyAlignment="1">
      <alignment horizontal="left"/>
    </xf>
    <xf numFmtId="178" fontId="0" fillId="0" borderId="1" xfId="0" applyNumberFormat="1" applyBorder="1"/>
    <xf numFmtId="167" fontId="0" fillId="0" borderId="1" xfId="0" applyNumberFormat="1" applyBorder="1"/>
    <xf numFmtId="0" fontId="0" fillId="13" borderId="1" xfId="0" applyFill="1" applyBorder="1"/>
    <xf numFmtId="0" fontId="0" fillId="13" borderId="1" xfId="0" applyFill="1" applyBorder="1" applyAlignment="1">
      <alignment horizontal="right"/>
    </xf>
    <xf numFmtId="0" fontId="0" fillId="16" borderId="1" xfId="0" applyFill="1" applyBorder="1" applyAlignment="1">
      <alignment horizontal="center"/>
    </xf>
    <xf numFmtId="0" fontId="0" fillId="13" borderId="1" xfId="0" applyFill="1" applyBorder="1" applyAlignment="1"/>
    <xf numFmtId="0" fontId="0" fillId="13" borderId="1" xfId="0" applyFill="1" applyBorder="1" applyAlignment="1">
      <alignment horizontal="center"/>
    </xf>
  </cellXfs>
  <cellStyles count="3">
    <cellStyle name="Millares" xfId="2" builtinId="3"/>
    <cellStyle name="Normal" xfId="0" builtinId="0"/>
    <cellStyle name="Porcentaje" xfId="1" builtinId="5"/>
  </cellStyles>
  <dxfs count="14">
    <dxf>
      <font>
        <color rgb="FF006100"/>
      </font>
      <fill>
        <patternFill>
          <bgColor rgb="FFC6EFCE"/>
        </patternFill>
      </fill>
    </dxf>
    <dxf>
      <numFmt numFmtId="14" formatCode="0.00%"/>
    </dxf>
    <dxf>
      <numFmt numFmtId="171" formatCode="[$$-2C0A]\ #,##0.0"/>
    </dxf>
    <dxf>
      <numFmt numFmtId="14" formatCode="0.00%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8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numFmt numFmtId="2" formatCode="0.00"/>
    </dxf>
    <dxf>
      <numFmt numFmtId="167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</dxf>
    <dxf>
      <numFmt numFmtId="179" formatCode="[$-C0A]mmm\-yy;@"/>
    </dxf>
    <dxf>
      <alignment wrapText="1"/>
    </dxf>
  </dxfs>
  <tableStyles count="0" defaultTableStyle="TableStyleMedium2" defaultPivotStyle="PivotStyleLight16"/>
  <colors>
    <mruColors>
      <color rgb="FF00B800"/>
      <color rgb="FF1E5680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580927384076991E-2"/>
          <c:y val="5.0925925925925923E-2"/>
          <c:w val="0.8465877077865267"/>
          <c:h val="0.64979950422863797"/>
        </c:manualLayout>
      </c:layout>
      <c:lineChart>
        <c:grouping val="standard"/>
        <c:varyColors val="0"/>
        <c:ser>
          <c:idx val="1"/>
          <c:order val="1"/>
          <c:tx>
            <c:strRef>
              <c:f>'1) Estadística'!$G$9</c:f>
              <c:strCache>
                <c:ptCount val="1"/>
                <c:pt idx="0">
                  <c:v>AGRO USD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'1) Estadística'!$A$10:$A$255</c:f>
              <c:numCache>
                <c:formatCode>[$-C0A]mmm\-yy;@</c:formatCode>
                <c:ptCount val="246"/>
                <c:pt idx="0">
                  <c:v>45814</c:v>
                </c:pt>
                <c:pt idx="1">
                  <c:v>45813</c:v>
                </c:pt>
                <c:pt idx="2">
                  <c:v>45812</c:v>
                </c:pt>
                <c:pt idx="3">
                  <c:v>45811</c:v>
                </c:pt>
                <c:pt idx="4">
                  <c:v>45810</c:v>
                </c:pt>
                <c:pt idx="5">
                  <c:v>45807</c:v>
                </c:pt>
                <c:pt idx="6">
                  <c:v>45806</c:v>
                </c:pt>
                <c:pt idx="7">
                  <c:v>45805</c:v>
                </c:pt>
                <c:pt idx="8">
                  <c:v>45804</c:v>
                </c:pt>
                <c:pt idx="9">
                  <c:v>45803</c:v>
                </c:pt>
                <c:pt idx="10">
                  <c:v>45800</c:v>
                </c:pt>
                <c:pt idx="11">
                  <c:v>45799</c:v>
                </c:pt>
                <c:pt idx="12">
                  <c:v>45798</c:v>
                </c:pt>
                <c:pt idx="13">
                  <c:v>45797</c:v>
                </c:pt>
                <c:pt idx="14">
                  <c:v>45796</c:v>
                </c:pt>
                <c:pt idx="15">
                  <c:v>45793</c:v>
                </c:pt>
                <c:pt idx="16">
                  <c:v>45792</c:v>
                </c:pt>
                <c:pt idx="17">
                  <c:v>45791</c:v>
                </c:pt>
                <c:pt idx="18">
                  <c:v>45790</c:v>
                </c:pt>
                <c:pt idx="19">
                  <c:v>45789</c:v>
                </c:pt>
                <c:pt idx="20">
                  <c:v>45786</c:v>
                </c:pt>
                <c:pt idx="21">
                  <c:v>45785</c:v>
                </c:pt>
                <c:pt idx="22">
                  <c:v>45784</c:v>
                </c:pt>
                <c:pt idx="23">
                  <c:v>45783</c:v>
                </c:pt>
                <c:pt idx="24">
                  <c:v>45782</c:v>
                </c:pt>
                <c:pt idx="25">
                  <c:v>45777</c:v>
                </c:pt>
                <c:pt idx="26">
                  <c:v>45776</c:v>
                </c:pt>
                <c:pt idx="27">
                  <c:v>45775</c:v>
                </c:pt>
                <c:pt idx="28">
                  <c:v>45772</c:v>
                </c:pt>
                <c:pt idx="29">
                  <c:v>45771</c:v>
                </c:pt>
                <c:pt idx="30">
                  <c:v>45770</c:v>
                </c:pt>
                <c:pt idx="31">
                  <c:v>45769</c:v>
                </c:pt>
                <c:pt idx="32">
                  <c:v>45768</c:v>
                </c:pt>
                <c:pt idx="33">
                  <c:v>45763</c:v>
                </c:pt>
                <c:pt idx="34">
                  <c:v>45762</c:v>
                </c:pt>
                <c:pt idx="35">
                  <c:v>45761</c:v>
                </c:pt>
                <c:pt idx="36">
                  <c:v>45758</c:v>
                </c:pt>
                <c:pt idx="37">
                  <c:v>45757</c:v>
                </c:pt>
                <c:pt idx="38">
                  <c:v>45756</c:v>
                </c:pt>
                <c:pt idx="39">
                  <c:v>45755</c:v>
                </c:pt>
                <c:pt idx="40">
                  <c:v>45754</c:v>
                </c:pt>
                <c:pt idx="41">
                  <c:v>45751</c:v>
                </c:pt>
                <c:pt idx="42">
                  <c:v>45750</c:v>
                </c:pt>
                <c:pt idx="43">
                  <c:v>45748</c:v>
                </c:pt>
                <c:pt idx="44">
                  <c:v>45747</c:v>
                </c:pt>
                <c:pt idx="45">
                  <c:v>45744</c:v>
                </c:pt>
                <c:pt idx="46">
                  <c:v>45743</c:v>
                </c:pt>
                <c:pt idx="47">
                  <c:v>45742</c:v>
                </c:pt>
                <c:pt idx="48">
                  <c:v>45741</c:v>
                </c:pt>
                <c:pt idx="49">
                  <c:v>45737</c:v>
                </c:pt>
                <c:pt idx="50">
                  <c:v>45736</c:v>
                </c:pt>
                <c:pt idx="51">
                  <c:v>45735</c:v>
                </c:pt>
                <c:pt idx="52">
                  <c:v>45734</c:v>
                </c:pt>
                <c:pt idx="53">
                  <c:v>45733</c:v>
                </c:pt>
                <c:pt idx="54">
                  <c:v>45730</c:v>
                </c:pt>
                <c:pt idx="55">
                  <c:v>45729</c:v>
                </c:pt>
                <c:pt idx="56">
                  <c:v>45728</c:v>
                </c:pt>
                <c:pt idx="57">
                  <c:v>45727</c:v>
                </c:pt>
                <c:pt idx="58">
                  <c:v>45726</c:v>
                </c:pt>
                <c:pt idx="59">
                  <c:v>45723</c:v>
                </c:pt>
                <c:pt idx="60">
                  <c:v>45722</c:v>
                </c:pt>
                <c:pt idx="61">
                  <c:v>45721</c:v>
                </c:pt>
                <c:pt idx="62">
                  <c:v>45716</c:v>
                </c:pt>
                <c:pt idx="63">
                  <c:v>45715</c:v>
                </c:pt>
                <c:pt idx="64">
                  <c:v>45714</c:v>
                </c:pt>
                <c:pt idx="65">
                  <c:v>45713</c:v>
                </c:pt>
                <c:pt idx="66">
                  <c:v>45712</c:v>
                </c:pt>
                <c:pt idx="67">
                  <c:v>45709</c:v>
                </c:pt>
                <c:pt idx="68">
                  <c:v>45708</c:v>
                </c:pt>
                <c:pt idx="69">
                  <c:v>45707</c:v>
                </c:pt>
                <c:pt idx="70">
                  <c:v>45706</c:v>
                </c:pt>
                <c:pt idx="71">
                  <c:v>45705</c:v>
                </c:pt>
                <c:pt idx="72">
                  <c:v>45702</c:v>
                </c:pt>
                <c:pt idx="73">
                  <c:v>45701</c:v>
                </c:pt>
                <c:pt idx="74">
                  <c:v>45700</c:v>
                </c:pt>
                <c:pt idx="75">
                  <c:v>45699</c:v>
                </c:pt>
                <c:pt idx="76">
                  <c:v>45698</c:v>
                </c:pt>
                <c:pt idx="77">
                  <c:v>45695</c:v>
                </c:pt>
                <c:pt idx="78">
                  <c:v>45694</c:v>
                </c:pt>
                <c:pt idx="79">
                  <c:v>45693</c:v>
                </c:pt>
                <c:pt idx="80">
                  <c:v>45692</c:v>
                </c:pt>
                <c:pt idx="81">
                  <c:v>45691</c:v>
                </c:pt>
                <c:pt idx="82">
                  <c:v>45688</c:v>
                </c:pt>
                <c:pt idx="83">
                  <c:v>45687</c:v>
                </c:pt>
                <c:pt idx="84">
                  <c:v>45686</c:v>
                </c:pt>
                <c:pt idx="85">
                  <c:v>45685</c:v>
                </c:pt>
                <c:pt idx="86">
                  <c:v>45684</c:v>
                </c:pt>
                <c:pt idx="87">
                  <c:v>45681</c:v>
                </c:pt>
                <c:pt idx="88">
                  <c:v>45680</c:v>
                </c:pt>
                <c:pt idx="89">
                  <c:v>45679</c:v>
                </c:pt>
                <c:pt idx="90">
                  <c:v>45678</c:v>
                </c:pt>
                <c:pt idx="91">
                  <c:v>45677</c:v>
                </c:pt>
                <c:pt idx="92">
                  <c:v>45674</c:v>
                </c:pt>
                <c:pt idx="93">
                  <c:v>45673</c:v>
                </c:pt>
                <c:pt idx="94">
                  <c:v>45672</c:v>
                </c:pt>
                <c:pt idx="95">
                  <c:v>45671</c:v>
                </c:pt>
                <c:pt idx="96">
                  <c:v>45670</c:v>
                </c:pt>
                <c:pt idx="97">
                  <c:v>45667</c:v>
                </c:pt>
                <c:pt idx="98">
                  <c:v>45666</c:v>
                </c:pt>
                <c:pt idx="99">
                  <c:v>45665</c:v>
                </c:pt>
                <c:pt idx="100">
                  <c:v>45664</c:v>
                </c:pt>
                <c:pt idx="101">
                  <c:v>45663</c:v>
                </c:pt>
                <c:pt idx="102">
                  <c:v>45660</c:v>
                </c:pt>
                <c:pt idx="103">
                  <c:v>45659</c:v>
                </c:pt>
                <c:pt idx="104">
                  <c:v>45657</c:v>
                </c:pt>
                <c:pt idx="105">
                  <c:v>45656</c:v>
                </c:pt>
                <c:pt idx="106">
                  <c:v>45653</c:v>
                </c:pt>
                <c:pt idx="107">
                  <c:v>45652</c:v>
                </c:pt>
                <c:pt idx="108">
                  <c:v>45650</c:v>
                </c:pt>
                <c:pt idx="109">
                  <c:v>45649</c:v>
                </c:pt>
                <c:pt idx="110">
                  <c:v>45646</c:v>
                </c:pt>
                <c:pt idx="111">
                  <c:v>45645</c:v>
                </c:pt>
                <c:pt idx="112">
                  <c:v>45644</c:v>
                </c:pt>
                <c:pt idx="113">
                  <c:v>45643</c:v>
                </c:pt>
                <c:pt idx="114">
                  <c:v>45642</c:v>
                </c:pt>
                <c:pt idx="115">
                  <c:v>45639</c:v>
                </c:pt>
                <c:pt idx="116">
                  <c:v>45638</c:v>
                </c:pt>
                <c:pt idx="117">
                  <c:v>45637</c:v>
                </c:pt>
                <c:pt idx="118">
                  <c:v>45636</c:v>
                </c:pt>
                <c:pt idx="119">
                  <c:v>45635</c:v>
                </c:pt>
                <c:pt idx="120">
                  <c:v>45632</c:v>
                </c:pt>
                <c:pt idx="121">
                  <c:v>45631</c:v>
                </c:pt>
                <c:pt idx="122">
                  <c:v>45630</c:v>
                </c:pt>
                <c:pt idx="123">
                  <c:v>45629</c:v>
                </c:pt>
                <c:pt idx="124">
                  <c:v>45628</c:v>
                </c:pt>
                <c:pt idx="125">
                  <c:v>45625</c:v>
                </c:pt>
                <c:pt idx="126">
                  <c:v>45624</c:v>
                </c:pt>
                <c:pt idx="127">
                  <c:v>45623</c:v>
                </c:pt>
                <c:pt idx="128">
                  <c:v>45622</c:v>
                </c:pt>
                <c:pt idx="129">
                  <c:v>45621</c:v>
                </c:pt>
                <c:pt idx="130">
                  <c:v>45618</c:v>
                </c:pt>
                <c:pt idx="131">
                  <c:v>45617</c:v>
                </c:pt>
                <c:pt idx="132">
                  <c:v>45616</c:v>
                </c:pt>
                <c:pt idx="133">
                  <c:v>45615</c:v>
                </c:pt>
                <c:pt idx="134">
                  <c:v>45611</c:v>
                </c:pt>
                <c:pt idx="135">
                  <c:v>45610</c:v>
                </c:pt>
                <c:pt idx="136">
                  <c:v>45609</c:v>
                </c:pt>
                <c:pt idx="137">
                  <c:v>45608</c:v>
                </c:pt>
                <c:pt idx="138">
                  <c:v>45607</c:v>
                </c:pt>
                <c:pt idx="139">
                  <c:v>45604</c:v>
                </c:pt>
                <c:pt idx="140">
                  <c:v>45603</c:v>
                </c:pt>
                <c:pt idx="141">
                  <c:v>45602</c:v>
                </c:pt>
                <c:pt idx="142">
                  <c:v>45601</c:v>
                </c:pt>
                <c:pt idx="143">
                  <c:v>45600</c:v>
                </c:pt>
                <c:pt idx="144">
                  <c:v>45597</c:v>
                </c:pt>
                <c:pt idx="145">
                  <c:v>45596</c:v>
                </c:pt>
                <c:pt idx="146">
                  <c:v>45595</c:v>
                </c:pt>
                <c:pt idx="147">
                  <c:v>45594</c:v>
                </c:pt>
                <c:pt idx="148">
                  <c:v>45593</c:v>
                </c:pt>
                <c:pt idx="149">
                  <c:v>45590</c:v>
                </c:pt>
                <c:pt idx="150">
                  <c:v>45589</c:v>
                </c:pt>
                <c:pt idx="151">
                  <c:v>45588</c:v>
                </c:pt>
                <c:pt idx="152">
                  <c:v>45587</c:v>
                </c:pt>
                <c:pt idx="153">
                  <c:v>45586</c:v>
                </c:pt>
                <c:pt idx="154">
                  <c:v>45583</c:v>
                </c:pt>
                <c:pt idx="155">
                  <c:v>45582</c:v>
                </c:pt>
                <c:pt idx="156">
                  <c:v>45581</c:v>
                </c:pt>
                <c:pt idx="157">
                  <c:v>45580</c:v>
                </c:pt>
                <c:pt idx="158">
                  <c:v>45579</c:v>
                </c:pt>
                <c:pt idx="159">
                  <c:v>45575</c:v>
                </c:pt>
                <c:pt idx="160">
                  <c:v>45574</c:v>
                </c:pt>
                <c:pt idx="161">
                  <c:v>45573</c:v>
                </c:pt>
                <c:pt idx="162">
                  <c:v>45572</c:v>
                </c:pt>
                <c:pt idx="163">
                  <c:v>45569</c:v>
                </c:pt>
                <c:pt idx="164">
                  <c:v>45568</c:v>
                </c:pt>
                <c:pt idx="165">
                  <c:v>45567</c:v>
                </c:pt>
                <c:pt idx="166">
                  <c:v>45566</c:v>
                </c:pt>
                <c:pt idx="167">
                  <c:v>45565</c:v>
                </c:pt>
                <c:pt idx="168">
                  <c:v>45562</c:v>
                </c:pt>
                <c:pt idx="169">
                  <c:v>45561</c:v>
                </c:pt>
                <c:pt idx="170">
                  <c:v>45560</c:v>
                </c:pt>
                <c:pt idx="171">
                  <c:v>45559</c:v>
                </c:pt>
                <c:pt idx="172">
                  <c:v>45558</c:v>
                </c:pt>
                <c:pt idx="173">
                  <c:v>45555</c:v>
                </c:pt>
                <c:pt idx="174">
                  <c:v>45554</c:v>
                </c:pt>
                <c:pt idx="175">
                  <c:v>45553</c:v>
                </c:pt>
                <c:pt idx="176">
                  <c:v>45552</c:v>
                </c:pt>
                <c:pt idx="177">
                  <c:v>45551</c:v>
                </c:pt>
                <c:pt idx="178">
                  <c:v>45548</c:v>
                </c:pt>
                <c:pt idx="179">
                  <c:v>45547</c:v>
                </c:pt>
                <c:pt idx="180">
                  <c:v>45546</c:v>
                </c:pt>
                <c:pt idx="181">
                  <c:v>45545</c:v>
                </c:pt>
                <c:pt idx="182">
                  <c:v>45544</c:v>
                </c:pt>
                <c:pt idx="183">
                  <c:v>45541</c:v>
                </c:pt>
                <c:pt idx="184">
                  <c:v>45540</c:v>
                </c:pt>
                <c:pt idx="185">
                  <c:v>45539</c:v>
                </c:pt>
                <c:pt idx="186">
                  <c:v>45538</c:v>
                </c:pt>
                <c:pt idx="187">
                  <c:v>45537</c:v>
                </c:pt>
                <c:pt idx="188">
                  <c:v>45534</c:v>
                </c:pt>
                <c:pt idx="189">
                  <c:v>45533</c:v>
                </c:pt>
                <c:pt idx="190">
                  <c:v>45532</c:v>
                </c:pt>
                <c:pt idx="191">
                  <c:v>45531</c:v>
                </c:pt>
                <c:pt idx="192">
                  <c:v>45530</c:v>
                </c:pt>
                <c:pt idx="193">
                  <c:v>45527</c:v>
                </c:pt>
                <c:pt idx="194">
                  <c:v>45526</c:v>
                </c:pt>
                <c:pt idx="195">
                  <c:v>45525</c:v>
                </c:pt>
                <c:pt idx="196">
                  <c:v>45524</c:v>
                </c:pt>
                <c:pt idx="197">
                  <c:v>45523</c:v>
                </c:pt>
                <c:pt idx="198">
                  <c:v>45520</c:v>
                </c:pt>
                <c:pt idx="199">
                  <c:v>45519</c:v>
                </c:pt>
                <c:pt idx="200">
                  <c:v>45518</c:v>
                </c:pt>
                <c:pt idx="201">
                  <c:v>45517</c:v>
                </c:pt>
                <c:pt idx="202">
                  <c:v>45516</c:v>
                </c:pt>
                <c:pt idx="203">
                  <c:v>45513</c:v>
                </c:pt>
                <c:pt idx="204">
                  <c:v>45512</c:v>
                </c:pt>
                <c:pt idx="205">
                  <c:v>45511</c:v>
                </c:pt>
                <c:pt idx="206">
                  <c:v>45510</c:v>
                </c:pt>
                <c:pt idx="207">
                  <c:v>45509</c:v>
                </c:pt>
                <c:pt idx="208">
                  <c:v>45506</c:v>
                </c:pt>
                <c:pt idx="209">
                  <c:v>45505</c:v>
                </c:pt>
                <c:pt idx="210">
                  <c:v>45504</c:v>
                </c:pt>
                <c:pt idx="211">
                  <c:v>45503</c:v>
                </c:pt>
                <c:pt idx="212">
                  <c:v>45502</c:v>
                </c:pt>
                <c:pt idx="213">
                  <c:v>45499</c:v>
                </c:pt>
                <c:pt idx="214">
                  <c:v>45498</c:v>
                </c:pt>
                <c:pt idx="215">
                  <c:v>45497</c:v>
                </c:pt>
                <c:pt idx="216">
                  <c:v>45496</c:v>
                </c:pt>
                <c:pt idx="217">
                  <c:v>45495</c:v>
                </c:pt>
                <c:pt idx="218">
                  <c:v>45492</c:v>
                </c:pt>
                <c:pt idx="219">
                  <c:v>45491</c:v>
                </c:pt>
                <c:pt idx="220">
                  <c:v>45490</c:v>
                </c:pt>
                <c:pt idx="221">
                  <c:v>45489</c:v>
                </c:pt>
                <c:pt idx="222">
                  <c:v>45488</c:v>
                </c:pt>
                <c:pt idx="223">
                  <c:v>45485</c:v>
                </c:pt>
                <c:pt idx="224">
                  <c:v>45484</c:v>
                </c:pt>
                <c:pt idx="225">
                  <c:v>45483</c:v>
                </c:pt>
                <c:pt idx="226">
                  <c:v>45481</c:v>
                </c:pt>
                <c:pt idx="227">
                  <c:v>45478</c:v>
                </c:pt>
                <c:pt idx="228">
                  <c:v>45477</c:v>
                </c:pt>
                <c:pt idx="229">
                  <c:v>45476</c:v>
                </c:pt>
                <c:pt idx="230">
                  <c:v>45475</c:v>
                </c:pt>
                <c:pt idx="231">
                  <c:v>45474</c:v>
                </c:pt>
                <c:pt idx="232">
                  <c:v>45471</c:v>
                </c:pt>
                <c:pt idx="233">
                  <c:v>45470</c:v>
                </c:pt>
                <c:pt idx="234">
                  <c:v>45469</c:v>
                </c:pt>
                <c:pt idx="235">
                  <c:v>45468</c:v>
                </c:pt>
                <c:pt idx="236">
                  <c:v>45467</c:v>
                </c:pt>
                <c:pt idx="237">
                  <c:v>45462</c:v>
                </c:pt>
                <c:pt idx="238">
                  <c:v>45461</c:v>
                </c:pt>
                <c:pt idx="239">
                  <c:v>45457</c:v>
                </c:pt>
                <c:pt idx="240">
                  <c:v>45456</c:v>
                </c:pt>
                <c:pt idx="241">
                  <c:v>45455</c:v>
                </c:pt>
                <c:pt idx="242">
                  <c:v>45454</c:v>
                </c:pt>
                <c:pt idx="243">
                  <c:v>45453</c:v>
                </c:pt>
                <c:pt idx="244">
                  <c:v>45450</c:v>
                </c:pt>
                <c:pt idx="245">
                  <c:v>45449</c:v>
                </c:pt>
              </c:numCache>
            </c:numRef>
          </c:cat>
          <c:val>
            <c:numRef>
              <c:f>'1) Estadística'!$G$10:$G$255</c:f>
              <c:numCache>
                <c:formatCode>0.000</c:formatCode>
                <c:ptCount val="246"/>
                <c:pt idx="0">
                  <c:v>4.0422676954042266E-2</c:v>
                </c:pt>
                <c:pt idx="1">
                  <c:v>4.0045958503161741E-2</c:v>
                </c:pt>
                <c:pt idx="2">
                  <c:v>4.1065352575384254E-2</c:v>
                </c:pt>
                <c:pt idx="3">
                  <c:v>4.3541486294518643E-2</c:v>
                </c:pt>
                <c:pt idx="4">
                  <c:v>4.1477301525621318E-2</c:v>
                </c:pt>
                <c:pt idx="5">
                  <c:v>4.3130936797234246E-2</c:v>
                </c:pt>
                <c:pt idx="6">
                  <c:v>4.5181487435485231E-2</c:v>
                </c:pt>
                <c:pt idx="7">
                  <c:v>4.5844780219780223E-2</c:v>
                </c:pt>
                <c:pt idx="8">
                  <c:v>4.6069060535606651E-2</c:v>
                </c:pt>
                <c:pt idx="9">
                  <c:v>4.531089032843847E-2</c:v>
                </c:pt>
                <c:pt idx="10">
                  <c:v>4.5656509113808912E-2</c:v>
                </c:pt>
                <c:pt idx="11">
                  <c:v>4.6349334056266345E-2</c:v>
                </c:pt>
                <c:pt idx="12">
                  <c:v>4.5699860724233987E-2</c:v>
                </c:pt>
                <c:pt idx="13">
                  <c:v>4.7254471833733623E-2</c:v>
                </c:pt>
                <c:pt idx="14">
                  <c:v>4.5875153424967577E-2</c:v>
                </c:pt>
                <c:pt idx="15">
                  <c:v>4.501696793406746E-2</c:v>
                </c:pt>
                <c:pt idx="16">
                  <c:v>4.619079339480419E-2</c:v>
                </c:pt>
                <c:pt idx="17">
                  <c:v>4.6629036216386775E-2</c:v>
                </c:pt>
                <c:pt idx="18">
                  <c:v>4.5752550573221612E-2</c:v>
                </c:pt>
                <c:pt idx="19">
                  <c:v>3.925692253767963E-2</c:v>
                </c:pt>
                <c:pt idx="20">
                  <c:v>3.7277884119533963E-2</c:v>
                </c:pt>
                <c:pt idx="21">
                  <c:v>3.7391106601826263E-2</c:v>
                </c:pt>
                <c:pt idx="22">
                  <c:v>3.7757229233523926E-2</c:v>
                </c:pt>
                <c:pt idx="23">
                  <c:v>3.7512191462225224E-2</c:v>
                </c:pt>
                <c:pt idx="24">
                  <c:v>3.3626508828517275E-2</c:v>
                </c:pt>
                <c:pt idx="25">
                  <c:v>3.5534110210669531E-2</c:v>
                </c:pt>
                <c:pt idx="26">
                  <c:v>3.6696074670758208E-2</c:v>
                </c:pt>
                <c:pt idx="27">
                  <c:v>3.7184990013174109E-2</c:v>
                </c:pt>
                <c:pt idx="28">
                  <c:v>3.7365736674998311E-2</c:v>
                </c:pt>
                <c:pt idx="29">
                  <c:v>3.6914363732901821E-2</c:v>
                </c:pt>
                <c:pt idx="30">
                  <c:v>3.7200342465753426E-2</c:v>
                </c:pt>
                <c:pt idx="31">
                  <c:v>3.6917518721829565E-2</c:v>
                </c:pt>
                <c:pt idx="32">
                  <c:v>3.8277128190503357E-2</c:v>
                </c:pt>
                <c:pt idx="33">
                  <c:v>4.1125968111293133E-2</c:v>
                </c:pt>
                <c:pt idx="34">
                  <c:v>4.3137571693997893E-2</c:v>
                </c:pt>
                <c:pt idx="35">
                  <c:v>4.24445508217648E-2</c:v>
                </c:pt>
                <c:pt idx="36">
                  <c:v>3.6825092062730158E-2</c:v>
                </c:pt>
                <c:pt idx="37">
                  <c:v>3.3430839949853741E-2</c:v>
                </c:pt>
                <c:pt idx="38">
                  <c:v>3.6222162597263213E-2</c:v>
                </c:pt>
                <c:pt idx="39">
                  <c:v>3.4433160441093145E-2</c:v>
                </c:pt>
                <c:pt idx="40">
                  <c:v>3.4042397927536765E-2</c:v>
                </c:pt>
                <c:pt idx="41">
                  <c:v>3.7040076392826235E-2</c:v>
                </c:pt>
                <c:pt idx="42">
                  <c:v>3.9866001728032015E-2</c:v>
                </c:pt>
                <c:pt idx="43">
                  <c:v>4.1613730248693394E-2</c:v>
                </c:pt>
                <c:pt idx="44">
                  <c:v>4.1705670601307483E-2</c:v>
                </c:pt>
                <c:pt idx="45">
                  <c:v>4.3149780412149508E-2</c:v>
                </c:pt>
                <c:pt idx="46">
                  <c:v>4.495894884275202E-2</c:v>
                </c:pt>
                <c:pt idx="47">
                  <c:v>4.5151779443205232E-2</c:v>
                </c:pt>
                <c:pt idx="48">
                  <c:v>4.612531870509156E-2</c:v>
                </c:pt>
                <c:pt idx="49">
                  <c:v>4.6767452339149487E-2</c:v>
                </c:pt>
                <c:pt idx="50">
                  <c:v>4.5045394885017749E-2</c:v>
                </c:pt>
                <c:pt idx="51">
                  <c:v>4.6564778681260584E-2</c:v>
                </c:pt>
                <c:pt idx="52">
                  <c:v>4.5485330788412402E-2</c:v>
                </c:pt>
                <c:pt idx="53">
                  <c:v>4.8776977266730109E-2</c:v>
                </c:pt>
                <c:pt idx="54">
                  <c:v>4.7908352049637254E-2</c:v>
                </c:pt>
                <c:pt idx="55">
                  <c:v>4.5802764379230677E-2</c:v>
                </c:pt>
                <c:pt idx="56">
                  <c:v>4.6122309531943975E-2</c:v>
                </c:pt>
                <c:pt idx="57">
                  <c:v>4.3645052747931533E-2</c:v>
                </c:pt>
                <c:pt idx="58">
                  <c:v>4.2313576148162613E-2</c:v>
                </c:pt>
                <c:pt idx="59">
                  <c:v>4.5092599412404961E-2</c:v>
                </c:pt>
                <c:pt idx="60">
                  <c:v>4.5562503029421747E-2</c:v>
                </c:pt>
                <c:pt idx="61">
                  <c:v>4.5737507184431439E-2</c:v>
                </c:pt>
                <c:pt idx="62">
                  <c:v>4.3142745506642356E-2</c:v>
                </c:pt>
                <c:pt idx="63">
                  <c:v>4.3364135309267748E-2</c:v>
                </c:pt>
                <c:pt idx="64">
                  <c:v>4.5148403710918161E-2</c:v>
                </c:pt>
                <c:pt idx="65">
                  <c:v>4.5381035677745138E-2</c:v>
                </c:pt>
                <c:pt idx="66">
                  <c:v>4.8116738993606523E-2</c:v>
                </c:pt>
                <c:pt idx="67">
                  <c:v>4.8843997744385838E-2</c:v>
                </c:pt>
                <c:pt idx="68">
                  <c:v>4.9417110259854402E-2</c:v>
                </c:pt>
                <c:pt idx="69">
                  <c:v>5.0172233038789878E-2</c:v>
                </c:pt>
                <c:pt idx="70">
                  <c:v>5.0616709332092155E-2</c:v>
                </c:pt>
                <c:pt idx="71">
                  <c:v>4.7847680751018522E-2</c:v>
                </c:pt>
                <c:pt idx="72">
                  <c:v>5.1525492448558974E-2</c:v>
                </c:pt>
                <c:pt idx="73">
                  <c:v>5.0257178694997011E-2</c:v>
                </c:pt>
                <c:pt idx="74">
                  <c:v>4.8805158679984827E-2</c:v>
                </c:pt>
                <c:pt idx="75">
                  <c:v>4.8609052800948474E-2</c:v>
                </c:pt>
                <c:pt idx="76">
                  <c:v>5.1939496820289345E-2</c:v>
                </c:pt>
                <c:pt idx="77">
                  <c:v>5.2910495868460493E-2</c:v>
                </c:pt>
                <c:pt idx="78">
                  <c:v>5.5759736928420643E-2</c:v>
                </c:pt>
                <c:pt idx="79">
                  <c:v>5.5791398895917575E-2</c:v>
                </c:pt>
                <c:pt idx="80">
                  <c:v>5.7744107744107737E-2</c:v>
                </c:pt>
                <c:pt idx="81">
                  <c:v>5.7090989294379127E-2</c:v>
                </c:pt>
                <c:pt idx="82">
                  <c:v>5.9323998317293243E-2</c:v>
                </c:pt>
                <c:pt idx="83">
                  <c:v>6.0263200817244546E-2</c:v>
                </c:pt>
                <c:pt idx="84">
                  <c:v>5.965479301334068E-2</c:v>
                </c:pt>
                <c:pt idx="85">
                  <c:v>5.9756496581652864E-2</c:v>
                </c:pt>
                <c:pt idx="86">
                  <c:v>5.9369138373113521E-2</c:v>
                </c:pt>
                <c:pt idx="87">
                  <c:v>6.3248972528661032E-2</c:v>
                </c:pt>
                <c:pt idx="88">
                  <c:v>5.8594251938150523E-2</c:v>
                </c:pt>
                <c:pt idx="89">
                  <c:v>5.9266460299999144E-2</c:v>
                </c:pt>
                <c:pt idx="90">
                  <c:v>5.6440078450852603E-2</c:v>
                </c:pt>
                <c:pt idx="91">
                  <c:v>5.7552105669439906E-2</c:v>
                </c:pt>
                <c:pt idx="92">
                  <c:v>5.6783092019488099E-2</c:v>
                </c:pt>
                <c:pt idx="93">
                  <c:v>5.7717211392502764E-2</c:v>
                </c:pt>
                <c:pt idx="94">
                  <c:v>5.9189897341179507E-2</c:v>
                </c:pt>
                <c:pt idx="95">
                  <c:v>6.156862407883535E-2</c:v>
                </c:pt>
                <c:pt idx="96">
                  <c:v>6.0694113702598834E-2</c:v>
                </c:pt>
                <c:pt idx="97">
                  <c:v>6.2628327935327022E-2</c:v>
                </c:pt>
                <c:pt idx="98">
                  <c:v>5.8409709755280495E-2</c:v>
                </c:pt>
                <c:pt idx="99">
                  <c:v>5.9155848615976378E-2</c:v>
                </c:pt>
                <c:pt idx="100">
                  <c:v>6.1148947499506182E-2</c:v>
                </c:pt>
                <c:pt idx="101">
                  <c:v>6.2656103820305731E-2</c:v>
                </c:pt>
                <c:pt idx="102">
                  <c:v>6.372868562802346E-2</c:v>
                </c:pt>
                <c:pt idx="103">
                  <c:v>6.393487763742127E-2</c:v>
                </c:pt>
                <c:pt idx="104">
                  <c:v>6.1602344477576225E-2</c:v>
                </c:pt>
                <c:pt idx="105">
                  <c:v>6.1602344477576225E-2</c:v>
                </c:pt>
                <c:pt idx="106">
                  <c:v>6.4157326407873153E-2</c:v>
                </c:pt>
                <c:pt idx="107">
                  <c:v>6.6018157128338265E-2</c:v>
                </c:pt>
                <c:pt idx="108">
                  <c:v>6.6496119624107425E-2</c:v>
                </c:pt>
                <c:pt idx="109">
                  <c:v>6.6333992945022791E-2</c:v>
                </c:pt>
                <c:pt idx="110">
                  <c:v>6.828926632813867E-2</c:v>
                </c:pt>
                <c:pt idx="111">
                  <c:v>6.6920676455767825E-2</c:v>
                </c:pt>
                <c:pt idx="112">
                  <c:v>7.0985307897668007E-2</c:v>
                </c:pt>
                <c:pt idx="113">
                  <c:v>7.334579047552521E-2</c:v>
                </c:pt>
                <c:pt idx="114">
                  <c:v>7.316385977987222E-2</c:v>
                </c:pt>
                <c:pt idx="115">
                  <c:v>6.7842099377492832E-2</c:v>
                </c:pt>
                <c:pt idx="116">
                  <c:v>6.8984417081675659E-2</c:v>
                </c:pt>
                <c:pt idx="117">
                  <c:v>6.9300003781719161E-2</c:v>
                </c:pt>
                <c:pt idx="118">
                  <c:v>6.9117036925281941E-2</c:v>
                </c:pt>
                <c:pt idx="119">
                  <c:v>7.1284939626992977E-2</c:v>
                </c:pt>
                <c:pt idx="120">
                  <c:v>7.2713064526888582E-2</c:v>
                </c:pt>
                <c:pt idx="121">
                  <c:v>7.4753332831211869E-2</c:v>
                </c:pt>
                <c:pt idx="122">
                  <c:v>7.6277012839808978E-2</c:v>
                </c:pt>
                <c:pt idx="123">
                  <c:v>7.7534514014781758E-2</c:v>
                </c:pt>
                <c:pt idx="124">
                  <c:v>7.3814892084311759E-2</c:v>
                </c:pt>
                <c:pt idx="125">
                  <c:v>6.9439280136833495E-2</c:v>
                </c:pt>
                <c:pt idx="126">
                  <c:v>6.6037297121331898E-2</c:v>
                </c:pt>
                <c:pt idx="127">
                  <c:v>6.5605196303775329E-2</c:v>
                </c:pt>
                <c:pt idx="128">
                  <c:v>6.9601903133479553E-2</c:v>
                </c:pt>
                <c:pt idx="129">
                  <c:v>6.8857996622060547E-2</c:v>
                </c:pt>
                <c:pt idx="130">
                  <c:v>7.1362458348759705E-2</c:v>
                </c:pt>
                <c:pt idx="131">
                  <c:v>6.8029102368043007E-2</c:v>
                </c:pt>
                <c:pt idx="132">
                  <c:v>6.3543159109093278E-2</c:v>
                </c:pt>
                <c:pt idx="133">
                  <c:v>5.9807277327182086E-2</c:v>
                </c:pt>
                <c:pt idx="134">
                  <c:v>6.1495228189266622E-2</c:v>
                </c:pt>
                <c:pt idx="135">
                  <c:v>5.8150576531765766E-2</c:v>
                </c:pt>
                <c:pt idx="136">
                  <c:v>5.3429190712775736E-2</c:v>
                </c:pt>
                <c:pt idx="137">
                  <c:v>5.1849875489149759E-2</c:v>
                </c:pt>
                <c:pt idx="138">
                  <c:v>5.1094825985873782E-2</c:v>
                </c:pt>
                <c:pt idx="139">
                  <c:v>4.990267209343479E-2</c:v>
                </c:pt>
                <c:pt idx="140">
                  <c:v>5.0440584864303382E-2</c:v>
                </c:pt>
                <c:pt idx="141">
                  <c:v>4.7133168658188514E-2</c:v>
                </c:pt>
                <c:pt idx="142">
                  <c:v>4.7507585609016037E-2</c:v>
                </c:pt>
                <c:pt idx="143">
                  <c:v>4.9064730708442611E-2</c:v>
                </c:pt>
                <c:pt idx="144">
                  <c:v>4.7811406684872222E-2</c:v>
                </c:pt>
                <c:pt idx="145">
                  <c:v>4.5958319339614299E-2</c:v>
                </c:pt>
                <c:pt idx="146">
                  <c:v>4.6032750017569755E-2</c:v>
                </c:pt>
                <c:pt idx="147">
                  <c:v>4.5862693071394685E-2</c:v>
                </c:pt>
                <c:pt idx="148">
                  <c:v>4.5583593433141126E-2</c:v>
                </c:pt>
                <c:pt idx="149">
                  <c:v>4.562930785332061E-2</c:v>
                </c:pt>
                <c:pt idx="150">
                  <c:v>4.4051724137931035E-2</c:v>
                </c:pt>
                <c:pt idx="151">
                  <c:v>4.3632045026205046E-2</c:v>
                </c:pt>
                <c:pt idx="152">
                  <c:v>4.5009767894179709E-2</c:v>
                </c:pt>
                <c:pt idx="153">
                  <c:v>4.4952093911345907E-2</c:v>
                </c:pt>
                <c:pt idx="154">
                  <c:v>4.5727104093869979E-2</c:v>
                </c:pt>
                <c:pt idx="155">
                  <c:v>4.5705415660572617E-2</c:v>
                </c:pt>
                <c:pt idx="156">
                  <c:v>4.5176697790307696E-2</c:v>
                </c:pt>
                <c:pt idx="157">
                  <c:v>4.6933529840075087E-2</c:v>
                </c:pt>
                <c:pt idx="158">
                  <c:v>4.7557436094695239E-2</c:v>
                </c:pt>
                <c:pt idx="159">
                  <c:v>4.855309999647528E-2</c:v>
                </c:pt>
                <c:pt idx="160">
                  <c:v>4.7498692696531286E-2</c:v>
                </c:pt>
                <c:pt idx="161">
                  <c:v>4.6599517759118969E-2</c:v>
                </c:pt>
                <c:pt idx="162">
                  <c:v>4.6112138640452001E-2</c:v>
                </c:pt>
                <c:pt idx="163">
                  <c:v>4.648342764753436E-2</c:v>
                </c:pt>
                <c:pt idx="164">
                  <c:v>4.5899273331431352E-2</c:v>
                </c:pt>
                <c:pt idx="165">
                  <c:v>4.5299831885450226E-2</c:v>
                </c:pt>
                <c:pt idx="166">
                  <c:v>4.5325268222315113E-2</c:v>
                </c:pt>
                <c:pt idx="167">
                  <c:v>4.6007094475033539E-2</c:v>
                </c:pt>
                <c:pt idx="168">
                  <c:v>4.7691989236182987E-2</c:v>
                </c:pt>
                <c:pt idx="169">
                  <c:v>4.6905322267641103E-2</c:v>
                </c:pt>
                <c:pt idx="170">
                  <c:v>4.5545094603195599E-2</c:v>
                </c:pt>
                <c:pt idx="171">
                  <c:v>4.575212331445018E-2</c:v>
                </c:pt>
                <c:pt idx="172">
                  <c:v>4.4663240824526593E-2</c:v>
                </c:pt>
                <c:pt idx="173">
                  <c:v>4.5579535038746774E-2</c:v>
                </c:pt>
                <c:pt idx="174">
                  <c:v>4.6253777948469618E-2</c:v>
                </c:pt>
                <c:pt idx="175">
                  <c:v>4.5163749668522934E-2</c:v>
                </c:pt>
                <c:pt idx="176">
                  <c:v>4.5220915291094198E-2</c:v>
                </c:pt>
                <c:pt idx="177">
                  <c:v>4.5734215115322607E-2</c:v>
                </c:pt>
                <c:pt idx="178">
                  <c:v>4.6391038131965788E-2</c:v>
                </c:pt>
                <c:pt idx="179">
                  <c:v>4.5502952851195662E-2</c:v>
                </c:pt>
                <c:pt idx="180">
                  <c:v>4.5603823892826946E-2</c:v>
                </c:pt>
                <c:pt idx="181">
                  <c:v>4.2748935340203506E-2</c:v>
                </c:pt>
                <c:pt idx="182">
                  <c:v>4.3949054973010875E-2</c:v>
                </c:pt>
                <c:pt idx="183">
                  <c:v>4.3332502592714678E-2</c:v>
                </c:pt>
                <c:pt idx="184">
                  <c:v>4.4088908660491574E-2</c:v>
                </c:pt>
                <c:pt idx="185">
                  <c:v>4.344293036629579E-2</c:v>
                </c:pt>
                <c:pt idx="186">
                  <c:v>4.2488759791727823E-2</c:v>
                </c:pt>
                <c:pt idx="187">
                  <c:v>4.4124170239920317E-2</c:v>
                </c:pt>
                <c:pt idx="188">
                  <c:v>4.4454514203568857E-2</c:v>
                </c:pt>
                <c:pt idx="189">
                  <c:v>4.3812385454602663E-2</c:v>
                </c:pt>
                <c:pt idx="190">
                  <c:v>4.242740935430786E-2</c:v>
                </c:pt>
                <c:pt idx="191">
                  <c:v>4.2062214758317201E-2</c:v>
                </c:pt>
                <c:pt idx="192">
                  <c:v>4.2926450611294388E-2</c:v>
                </c:pt>
                <c:pt idx="193">
                  <c:v>4.3346066890153578E-2</c:v>
                </c:pt>
                <c:pt idx="194">
                  <c:v>4.2860593969904069E-2</c:v>
                </c:pt>
                <c:pt idx="195">
                  <c:v>4.3197213083026896E-2</c:v>
                </c:pt>
                <c:pt idx="196">
                  <c:v>4.4649096923483095E-2</c:v>
                </c:pt>
                <c:pt idx="197">
                  <c:v>4.557786218122626E-2</c:v>
                </c:pt>
                <c:pt idx="198">
                  <c:v>4.5935304562649583E-2</c:v>
                </c:pt>
                <c:pt idx="199">
                  <c:v>4.6622421074901464E-2</c:v>
                </c:pt>
                <c:pt idx="200">
                  <c:v>4.6500264026922866E-2</c:v>
                </c:pt>
                <c:pt idx="201">
                  <c:v>4.7230233636413647E-2</c:v>
                </c:pt>
                <c:pt idx="202">
                  <c:v>4.7572702145053922E-2</c:v>
                </c:pt>
                <c:pt idx="203">
                  <c:v>4.6138322536914508E-2</c:v>
                </c:pt>
                <c:pt idx="204">
                  <c:v>4.326757983898661E-2</c:v>
                </c:pt>
                <c:pt idx="205">
                  <c:v>4.1142685536243846E-2</c:v>
                </c:pt>
                <c:pt idx="206">
                  <c:v>4.145465429512122E-2</c:v>
                </c:pt>
                <c:pt idx="207">
                  <c:v>3.8778982088864794E-2</c:v>
                </c:pt>
                <c:pt idx="208">
                  <c:v>4.2052712062606822E-2</c:v>
                </c:pt>
                <c:pt idx="209">
                  <c:v>4.3841432461119566E-2</c:v>
                </c:pt>
                <c:pt idx="210">
                  <c:v>4.4149598323707025E-2</c:v>
                </c:pt>
                <c:pt idx="211">
                  <c:v>4.2430695216688352E-2</c:v>
                </c:pt>
                <c:pt idx="212">
                  <c:v>4.3036627409241308E-2</c:v>
                </c:pt>
                <c:pt idx="213">
                  <c:v>4.4666137626119484E-2</c:v>
                </c:pt>
                <c:pt idx="214">
                  <c:v>4.4268703527240258E-2</c:v>
                </c:pt>
                <c:pt idx="215">
                  <c:v>4.4635180297717403E-2</c:v>
                </c:pt>
                <c:pt idx="216">
                  <c:v>4.6265547639174009E-2</c:v>
                </c:pt>
                <c:pt idx="217">
                  <c:v>4.5898737784710923E-2</c:v>
                </c:pt>
                <c:pt idx="218">
                  <c:v>4.4454456709469098E-2</c:v>
                </c:pt>
                <c:pt idx="219">
                  <c:v>4.4476883424948113E-2</c:v>
                </c:pt>
                <c:pt idx="220">
                  <c:v>4.5538461538461542E-2</c:v>
                </c:pt>
                <c:pt idx="221">
                  <c:v>4.6288332525372573E-2</c:v>
                </c:pt>
                <c:pt idx="222">
                  <c:v>4.5122902549826392E-2</c:v>
                </c:pt>
                <c:pt idx="223">
                  <c:v>4.4414003474036519E-2</c:v>
                </c:pt>
                <c:pt idx="224">
                  <c:v>4.517825458017715E-2</c:v>
                </c:pt>
                <c:pt idx="225">
                  <c:v>4.6029083992188122E-2</c:v>
                </c:pt>
                <c:pt idx="226">
                  <c:v>4.5210042830566899E-2</c:v>
                </c:pt>
                <c:pt idx="227">
                  <c:v>4.3115796711167137E-2</c:v>
                </c:pt>
                <c:pt idx="228">
                  <c:v>4.270319844090336E-2</c:v>
                </c:pt>
                <c:pt idx="229">
                  <c:v>4.2893309222423147E-2</c:v>
                </c:pt>
                <c:pt idx="230">
                  <c:v>4.2563319938955235E-2</c:v>
                </c:pt>
                <c:pt idx="231">
                  <c:v>4.2037919052236007E-2</c:v>
                </c:pt>
                <c:pt idx="232">
                  <c:v>4.5401940710406839E-2</c:v>
                </c:pt>
                <c:pt idx="233">
                  <c:v>4.6923331030961891E-2</c:v>
                </c:pt>
                <c:pt idx="234">
                  <c:v>4.4214903950815607E-2</c:v>
                </c:pt>
                <c:pt idx="235">
                  <c:v>4.438536581639279E-2</c:v>
                </c:pt>
                <c:pt idx="236">
                  <c:v>4.4007967758373095E-2</c:v>
                </c:pt>
                <c:pt idx="237">
                  <c:v>4.584671183300492E-2</c:v>
                </c:pt>
                <c:pt idx="238">
                  <c:v>4.6969465832724468E-2</c:v>
                </c:pt>
                <c:pt idx="239">
                  <c:v>4.8849466512405189E-2</c:v>
                </c:pt>
                <c:pt idx="240">
                  <c:v>4.9875110788816374E-2</c:v>
                </c:pt>
                <c:pt idx="241">
                  <c:v>4.6679281279809845E-2</c:v>
                </c:pt>
                <c:pt idx="242">
                  <c:v>4.5686474605542038E-2</c:v>
                </c:pt>
                <c:pt idx="243">
                  <c:v>4.7932234820804158E-2</c:v>
                </c:pt>
                <c:pt idx="244">
                  <c:v>4.3748489078474347E-2</c:v>
                </c:pt>
                <c:pt idx="245">
                  <c:v>4.21380335060259E-2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87-4C8D-8024-51B64EBCE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0860288"/>
        <c:axId val="77085862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'1) Estadística'!$B$9</c15:sqref>
                        </c15:formulaRef>
                      </c:ext>
                    </c:extLst>
                    <c:strCache>
                      <c:ptCount val="1"/>
                      <c:pt idx="0">
                        <c:v>AGRO $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'1) Estadística'!$A$10:$A$255</c15:sqref>
                        </c15:formulaRef>
                      </c:ext>
                    </c:extLst>
                    <c:numCache>
                      <c:formatCode>[$-C0A]mmm\-yy;@</c:formatCode>
                      <c:ptCount val="246"/>
                      <c:pt idx="0">
                        <c:v>45814</c:v>
                      </c:pt>
                      <c:pt idx="1">
                        <c:v>45813</c:v>
                      </c:pt>
                      <c:pt idx="2">
                        <c:v>45812</c:v>
                      </c:pt>
                      <c:pt idx="3">
                        <c:v>45811</c:v>
                      </c:pt>
                      <c:pt idx="4">
                        <c:v>45810</c:v>
                      </c:pt>
                      <c:pt idx="5">
                        <c:v>45807</c:v>
                      </c:pt>
                      <c:pt idx="6">
                        <c:v>45806</c:v>
                      </c:pt>
                      <c:pt idx="7">
                        <c:v>45805</c:v>
                      </c:pt>
                      <c:pt idx="8">
                        <c:v>45804</c:v>
                      </c:pt>
                      <c:pt idx="9">
                        <c:v>45803</c:v>
                      </c:pt>
                      <c:pt idx="10">
                        <c:v>45800</c:v>
                      </c:pt>
                      <c:pt idx="11">
                        <c:v>45799</c:v>
                      </c:pt>
                      <c:pt idx="12">
                        <c:v>45798</c:v>
                      </c:pt>
                      <c:pt idx="13">
                        <c:v>45797</c:v>
                      </c:pt>
                      <c:pt idx="14">
                        <c:v>45796</c:v>
                      </c:pt>
                      <c:pt idx="15">
                        <c:v>45793</c:v>
                      </c:pt>
                      <c:pt idx="16">
                        <c:v>45792</c:v>
                      </c:pt>
                      <c:pt idx="17">
                        <c:v>45791</c:v>
                      </c:pt>
                      <c:pt idx="18">
                        <c:v>45790</c:v>
                      </c:pt>
                      <c:pt idx="19">
                        <c:v>45789</c:v>
                      </c:pt>
                      <c:pt idx="20">
                        <c:v>45786</c:v>
                      </c:pt>
                      <c:pt idx="21">
                        <c:v>45785</c:v>
                      </c:pt>
                      <c:pt idx="22">
                        <c:v>45784</c:v>
                      </c:pt>
                      <c:pt idx="23">
                        <c:v>45783</c:v>
                      </c:pt>
                      <c:pt idx="24">
                        <c:v>45782</c:v>
                      </c:pt>
                      <c:pt idx="25">
                        <c:v>45777</c:v>
                      </c:pt>
                      <c:pt idx="26">
                        <c:v>45776</c:v>
                      </c:pt>
                      <c:pt idx="27">
                        <c:v>45775</c:v>
                      </c:pt>
                      <c:pt idx="28">
                        <c:v>45772</c:v>
                      </c:pt>
                      <c:pt idx="29">
                        <c:v>45771</c:v>
                      </c:pt>
                      <c:pt idx="30">
                        <c:v>45770</c:v>
                      </c:pt>
                      <c:pt idx="31">
                        <c:v>45769</c:v>
                      </c:pt>
                      <c:pt idx="32">
                        <c:v>45768</c:v>
                      </c:pt>
                      <c:pt idx="33">
                        <c:v>45763</c:v>
                      </c:pt>
                      <c:pt idx="34">
                        <c:v>45762</c:v>
                      </c:pt>
                      <c:pt idx="35">
                        <c:v>45761</c:v>
                      </c:pt>
                      <c:pt idx="36">
                        <c:v>45758</c:v>
                      </c:pt>
                      <c:pt idx="37">
                        <c:v>45757</c:v>
                      </c:pt>
                      <c:pt idx="38">
                        <c:v>45756</c:v>
                      </c:pt>
                      <c:pt idx="39">
                        <c:v>45755</c:v>
                      </c:pt>
                      <c:pt idx="40">
                        <c:v>45754</c:v>
                      </c:pt>
                      <c:pt idx="41">
                        <c:v>45751</c:v>
                      </c:pt>
                      <c:pt idx="42">
                        <c:v>45750</c:v>
                      </c:pt>
                      <c:pt idx="43">
                        <c:v>45748</c:v>
                      </c:pt>
                      <c:pt idx="44">
                        <c:v>45747</c:v>
                      </c:pt>
                      <c:pt idx="45">
                        <c:v>45744</c:v>
                      </c:pt>
                      <c:pt idx="46">
                        <c:v>45743</c:v>
                      </c:pt>
                      <c:pt idx="47">
                        <c:v>45742</c:v>
                      </c:pt>
                      <c:pt idx="48">
                        <c:v>45741</c:v>
                      </c:pt>
                      <c:pt idx="49">
                        <c:v>45737</c:v>
                      </c:pt>
                      <c:pt idx="50">
                        <c:v>45736</c:v>
                      </c:pt>
                      <c:pt idx="51">
                        <c:v>45735</c:v>
                      </c:pt>
                      <c:pt idx="52">
                        <c:v>45734</c:v>
                      </c:pt>
                      <c:pt idx="53">
                        <c:v>45733</c:v>
                      </c:pt>
                      <c:pt idx="54">
                        <c:v>45730</c:v>
                      </c:pt>
                      <c:pt idx="55">
                        <c:v>45729</c:v>
                      </c:pt>
                      <c:pt idx="56">
                        <c:v>45728</c:v>
                      </c:pt>
                      <c:pt idx="57">
                        <c:v>45727</c:v>
                      </c:pt>
                      <c:pt idx="58">
                        <c:v>45726</c:v>
                      </c:pt>
                      <c:pt idx="59">
                        <c:v>45723</c:v>
                      </c:pt>
                      <c:pt idx="60">
                        <c:v>45722</c:v>
                      </c:pt>
                      <c:pt idx="61">
                        <c:v>45721</c:v>
                      </c:pt>
                      <c:pt idx="62">
                        <c:v>45716</c:v>
                      </c:pt>
                      <c:pt idx="63">
                        <c:v>45715</c:v>
                      </c:pt>
                      <c:pt idx="64">
                        <c:v>45714</c:v>
                      </c:pt>
                      <c:pt idx="65">
                        <c:v>45713</c:v>
                      </c:pt>
                      <c:pt idx="66">
                        <c:v>45712</c:v>
                      </c:pt>
                      <c:pt idx="67">
                        <c:v>45709</c:v>
                      </c:pt>
                      <c:pt idx="68">
                        <c:v>45708</c:v>
                      </c:pt>
                      <c:pt idx="69">
                        <c:v>45707</c:v>
                      </c:pt>
                      <c:pt idx="70">
                        <c:v>45706</c:v>
                      </c:pt>
                      <c:pt idx="71">
                        <c:v>45705</c:v>
                      </c:pt>
                      <c:pt idx="72">
                        <c:v>45702</c:v>
                      </c:pt>
                      <c:pt idx="73">
                        <c:v>45701</c:v>
                      </c:pt>
                      <c:pt idx="74">
                        <c:v>45700</c:v>
                      </c:pt>
                      <c:pt idx="75">
                        <c:v>45699</c:v>
                      </c:pt>
                      <c:pt idx="76">
                        <c:v>45698</c:v>
                      </c:pt>
                      <c:pt idx="77">
                        <c:v>45695</c:v>
                      </c:pt>
                      <c:pt idx="78">
                        <c:v>45694</c:v>
                      </c:pt>
                      <c:pt idx="79">
                        <c:v>45693</c:v>
                      </c:pt>
                      <c:pt idx="80">
                        <c:v>45692</c:v>
                      </c:pt>
                      <c:pt idx="81">
                        <c:v>45691</c:v>
                      </c:pt>
                      <c:pt idx="82">
                        <c:v>45688</c:v>
                      </c:pt>
                      <c:pt idx="83">
                        <c:v>45687</c:v>
                      </c:pt>
                      <c:pt idx="84">
                        <c:v>45686</c:v>
                      </c:pt>
                      <c:pt idx="85">
                        <c:v>45685</c:v>
                      </c:pt>
                      <c:pt idx="86">
                        <c:v>45684</c:v>
                      </c:pt>
                      <c:pt idx="87">
                        <c:v>45681</c:v>
                      </c:pt>
                      <c:pt idx="88">
                        <c:v>45680</c:v>
                      </c:pt>
                      <c:pt idx="89">
                        <c:v>45679</c:v>
                      </c:pt>
                      <c:pt idx="90">
                        <c:v>45678</c:v>
                      </c:pt>
                      <c:pt idx="91">
                        <c:v>45677</c:v>
                      </c:pt>
                      <c:pt idx="92">
                        <c:v>45674</c:v>
                      </c:pt>
                      <c:pt idx="93">
                        <c:v>45673</c:v>
                      </c:pt>
                      <c:pt idx="94">
                        <c:v>45672</c:v>
                      </c:pt>
                      <c:pt idx="95">
                        <c:v>45671</c:v>
                      </c:pt>
                      <c:pt idx="96">
                        <c:v>45670</c:v>
                      </c:pt>
                      <c:pt idx="97">
                        <c:v>45667</c:v>
                      </c:pt>
                      <c:pt idx="98">
                        <c:v>45666</c:v>
                      </c:pt>
                      <c:pt idx="99">
                        <c:v>45665</c:v>
                      </c:pt>
                      <c:pt idx="100">
                        <c:v>45664</c:v>
                      </c:pt>
                      <c:pt idx="101">
                        <c:v>45663</c:v>
                      </c:pt>
                      <c:pt idx="102">
                        <c:v>45660</c:v>
                      </c:pt>
                      <c:pt idx="103">
                        <c:v>45659</c:v>
                      </c:pt>
                      <c:pt idx="104">
                        <c:v>45657</c:v>
                      </c:pt>
                      <c:pt idx="105">
                        <c:v>45656</c:v>
                      </c:pt>
                      <c:pt idx="106">
                        <c:v>45653</c:v>
                      </c:pt>
                      <c:pt idx="107">
                        <c:v>45652</c:v>
                      </c:pt>
                      <c:pt idx="108">
                        <c:v>45650</c:v>
                      </c:pt>
                      <c:pt idx="109">
                        <c:v>45649</c:v>
                      </c:pt>
                      <c:pt idx="110">
                        <c:v>45646</c:v>
                      </c:pt>
                      <c:pt idx="111">
                        <c:v>45645</c:v>
                      </c:pt>
                      <c:pt idx="112">
                        <c:v>45644</c:v>
                      </c:pt>
                      <c:pt idx="113">
                        <c:v>45643</c:v>
                      </c:pt>
                      <c:pt idx="114">
                        <c:v>45642</c:v>
                      </c:pt>
                      <c:pt idx="115">
                        <c:v>45639</c:v>
                      </c:pt>
                      <c:pt idx="116">
                        <c:v>45638</c:v>
                      </c:pt>
                      <c:pt idx="117">
                        <c:v>45637</c:v>
                      </c:pt>
                      <c:pt idx="118">
                        <c:v>45636</c:v>
                      </c:pt>
                      <c:pt idx="119">
                        <c:v>45635</c:v>
                      </c:pt>
                      <c:pt idx="120">
                        <c:v>45632</c:v>
                      </c:pt>
                      <c:pt idx="121">
                        <c:v>45631</c:v>
                      </c:pt>
                      <c:pt idx="122">
                        <c:v>45630</c:v>
                      </c:pt>
                      <c:pt idx="123">
                        <c:v>45629</c:v>
                      </c:pt>
                      <c:pt idx="124">
                        <c:v>45628</c:v>
                      </c:pt>
                      <c:pt idx="125">
                        <c:v>45625</c:v>
                      </c:pt>
                      <c:pt idx="126">
                        <c:v>45624</c:v>
                      </c:pt>
                      <c:pt idx="127">
                        <c:v>45623</c:v>
                      </c:pt>
                      <c:pt idx="128">
                        <c:v>45622</c:v>
                      </c:pt>
                      <c:pt idx="129">
                        <c:v>45621</c:v>
                      </c:pt>
                      <c:pt idx="130">
                        <c:v>45618</c:v>
                      </c:pt>
                      <c:pt idx="131">
                        <c:v>45617</c:v>
                      </c:pt>
                      <c:pt idx="132">
                        <c:v>45616</c:v>
                      </c:pt>
                      <c:pt idx="133">
                        <c:v>45615</c:v>
                      </c:pt>
                      <c:pt idx="134">
                        <c:v>45611</c:v>
                      </c:pt>
                      <c:pt idx="135">
                        <c:v>45610</c:v>
                      </c:pt>
                      <c:pt idx="136">
                        <c:v>45609</c:v>
                      </c:pt>
                      <c:pt idx="137">
                        <c:v>45608</c:v>
                      </c:pt>
                      <c:pt idx="138">
                        <c:v>45607</c:v>
                      </c:pt>
                      <c:pt idx="139">
                        <c:v>45604</c:v>
                      </c:pt>
                      <c:pt idx="140">
                        <c:v>45603</c:v>
                      </c:pt>
                      <c:pt idx="141">
                        <c:v>45602</c:v>
                      </c:pt>
                      <c:pt idx="142">
                        <c:v>45601</c:v>
                      </c:pt>
                      <c:pt idx="143">
                        <c:v>45600</c:v>
                      </c:pt>
                      <c:pt idx="144">
                        <c:v>45597</c:v>
                      </c:pt>
                      <c:pt idx="145">
                        <c:v>45596</c:v>
                      </c:pt>
                      <c:pt idx="146">
                        <c:v>45595</c:v>
                      </c:pt>
                      <c:pt idx="147">
                        <c:v>45594</c:v>
                      </c:pt>
                      <c:pt idx="148">
                        <c:v>45593</c:v>
                      </c:pt>
                      <c:pt idx="149">
                        <c:v>45590</c:v>
                      </c:pt>
                      <c:pt idx="150">
                        <c:v>45589</c:v>
                      </c:pt>
                      <c:pt idx="151">
                        <c:v>45588</c:v>
                      </c:pt>
                      <c:pt idx="152">
                        <c:v>45587</c:v>
                      </c:pt>
                      <c:pt idx="153">
                        <c:v>45586</c:v>
                      </c:pt>
                      <c:pt idx="154">
                        <c:v>45583</c:v>
                      </c:pt>
                      <c:pt idx="155">
                        <c:v>45582</c:v>
                      </c:pt>
                      <c:pt idx="156">
                        <c:v>45581</c:v>
                      </c:pt>
                      <c:pt idx="157">
                        <c:v>45580</c:v>
                      </c:pt>
                      <c:pt idx="158">
                        <c:v>45579</c:v>
                      </c:pt>
                      <c:pt idx="159">
                        <c:v>45575</c:v>
                      </c:pt>
                      <c:pt idx="160">
                        <c:v>45574</c:v>
                      </c:pt>
                      <c:pt idx="161">
                        <c:v>45573</c:v>
                      </c:pt>
                      <c:pt idx="162">
                        <c:v>45572</c:v>
                      </c:pt>
                      <c:pt idx="163">
                        <c:v>45569</c:v>
                      </c:pt>
                      <c:pt idx="164">
                        <c:v>45568</c:v>
                      </c:pt>
                      <c:pt idx="165">
                        <c:v>45567</c:v>
                      </c:pt>
                      <c:pt idx="166">
                        <c:v>45566</c:v>
                      </c:pt>
                      <c:pt idx="167">
                        <c:v>45565</c:v>
                      </c:pt>
                      <c:pt idx="168">
                        <c:v>45562</c:v>
                      </c:pt>
                      <c:pt idx="169">
                        <c:v>45561</c:v>
                      </c:pt>
                      <c:pt idx="170">
                        <c:v>45560</c:v>
                      </c:pt>
                      <c:pt idx="171">
                        <c:v>45559</c:v>
                      </c:pt>
                      <c:pt idx="172">
                        <c:v>45558</c:v>
                      </c:pt>
                      <c:pt idx="173">
                        <c:v>45555</c:v>
                      </c:pt>
                      <c:pt idx="174">
                        <c:v>45554</c:v>
                      </c:pt>
                      <c:pt idx="175">
                        <c:v>45553</c:v>
                      </c:pt>
                      <c:pt idx="176">
                        <c:v>45552</c:v>
                      </c:pt>
                      <c:pt idx="177">
                        <c:v>45551</c:v>
                      </c:pt>
                      <c:pt idx="178">
                        <c:v>45548</c:v>
                      </c:pt>
                      <c:pt idx="179">
                        <c:v>45547</c:v>
                      </c:pt>
                      <c:pt idx="180">
                        <c:v>45546</c:v>
                      </c:pt>
                      <c:pt idx="181">
                        <c:v>45545</c:v>
                      </c:pt>
                      <c:pt idx="182">
                        <c:v>45544</c:v>
                      </c:pt>
                      <c:pt idx="183">
                        <c:v>45541</c:v>
                      </c:pt>
                      <c:pt idx="184">
                        <c:v>45540</c:v>
                      </c:pt>
                      <c:pt idx="185">
                        <c:v>45539</c:v>
                      </c:pt>
                      <c:pt idx="186">
                        <c:v>45538</c:v>
                      </c:pt>
                      <c:pt idx="187">
                        <c:v>45537</c:v>
                      </c:pt>
                      <c:pt idx="188">
                        <c:v>45534</c:v>
                      </c:pt>
                      <c:pt idx="189">
                        <c:v>45533</c:v>
                      </c:pt>
                      <c:pt idx="190">
                        <c:v>45532</c:v>
                      </c:pt>
                      <c:pt idx="191">
                        <c:v>45531</c:v>
                      </c:pt>
                      <c:pt idx="192">
                        <c:v>45530</c:v>
                      </c:pt>
                      <c:pt idx="193">
                        <c:v>45527</c:v>
                      </c:pt>
                      <c:pt idx="194">
                        <c:v>45526</c:v>
                      </c:pt>
                      <c:pt idx="195">
                        <c:v>45525</c:v>
                      </c:pt>
                      <c:pt idx="196">
                        <c:v>45524</c:v>
                      </c:pt>
                      <c:pt idx="197">
                        <c:v>45523</c:v>
                      </c:pt>
                      <c:pt idx="198">
                        <c:v>45520</c:v>
                      </c:pt>
                      <c:pt idx="199">
                        <c:v>45519</c:v>
                      </c:pt>
                      <c:pt idx="200">
                        <c:v>45518</c:v>
                      </c:pt>
                      <c:pt idx="201">
                        <c:v>45517</c:v>
                      </c:pt>
                      <c:pt idx="202">
                        <c:v>45516</c:v>
                      </c:pt>
                      <c:pt idx="203">
                        <c:v>45513</c:v>
                      </c:pt>
                      <c:pt idx="204">
                        <c:v>45512</c:v>
                      </c:pt>
                      <c:pt idx="205">
                        <c:v>45511</c:v>
                      </c:pt>
                      <c:pt idx="206">
                        <c:v>45510</c:v>
                      </c:pt>
                      <c:pt idx="207">
                        <c:v>45509</c:v>
                      </c:pt>
                      <c:pt idx="208">
                        <c:v>45506</c:v>
                      </c:pt>
                      <c:pt idx="209">
                        <c:v>45505</c:v>
                      </c:pt>
                      <c:pt idx="210">
                        <c:v>45504</c:v>
                      </c:pt>
                      <c:pt idx="211">
                        <c:v>45503</c:v>
                      </c:pt>
                      <c:pt idx="212">
                        <c:v>45502</c:v>
                      </c:pt>
                      <c:pt idx="213">
                        <c:v>45499</c:v>
                      </c:pt>
                      <c:pt idx="214">
                        <c:v>45498</c:v>
                      </c:pt>
                      <c:pt idx="215">
                        <c:v>45497</c:v>
                      </c:pt>
                      <c:pt idx="216">
                        <c:v>45496</c:v>
                      </c:pt>
                      <c:pt idx="217">
                        <c:v>45495</c:v>
                      </c:pt>
                      <c:pt idx="218">
                        <c:v>45492</c:v>
                      </c:pt>
                      <c:pt idx="219">
                        <c:v>45491</c:v>
                      </c:pt>
                      <c:pt idx="220">
                        <c:v>45490</c:v>
                      </c:pt>
                      <c:pt idx="221">
                        <c:v>45489</c:v>
                      </c:pt>
                      <c:pt idx="222">
                        <c:v>45488</c:v>
                      </c:pt>
                      <c:pt idx="223">
                        <c:v>45485</c:v>
                      </c:pt>
                      <c:pt idx="224">
                        <c:v>45484</c:v>
                      </c:pt>
                      <c:pt idx="225">
                        <c:v>45483</c:v>
                      </c:pt>
                      <c:pt idx="226">
                        <c:v>45481</c:v>
                      </c:pt>
                      <c:pt idx="227">
                        <c:v>45478</c:v>
                      </c:pt>
                      <c:pt idx="228">
                        <c:v>45477</c:v>
                      </c:pt>
                      <c:pt idx="229">
                        <c:v>45476</c:v>
                      </c:pt>
                      <c:pt idx="230">
                        <c:v>45475</c:v>
                      </c:pt>
                      <c:pt idx="231">
                        <c:v>45474</c:v>
                      </c:pt>
                      <c:pt idx="232">
                        <c:v>45471</c:v>
                      </c:pt>
                      <c:pt idx="233">
                        <c:v>45470</c:v>
                      </c:pt>
                      <c:pt idx="234">
                        <c:v>45469</c:v>
                      </c:pt>
                      <c:pt idx="235">
                        <c:v>45468</c:v>
                      </c:pt>
                      <c:pt idx="236">
                        <c:v>45467</c:v>
                      </c:pt>
                      <c:pt idx="237">
                        <c:v>45462</c:v>
                      </c:pt>
                      <c:pt idx="238">
                        <c:v>45461</c:v>
                      </c:pt>
                      <c:pt idx="239">
                        <c:v>45457</c:v>
                      </c:pt>
                      <c:pt idx="240">
                        <c:v>45456</c:v>
                      </c:pt>
                      <c:pt idx="241">
                        <c:v>45455</c:v>
                      </c:pt>
                      <c:pt idx="242">
                        <c:v>45454</c:v>
                      </c:pt>
                      <c:pt idx="243">
                        <c:v>45453</c:v>
                      </c:pt>
                      <c:pt idx="244">
                        <c:v>45450</c:v>
                      </c:pt>
                      <c:pt idx="245">
                        <c:v>45449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'1) Estadística'!$B$10:$B$255</c15:sqref>
                        </c15:formulaRef>
                      </c:ext>
                    </c:extLst>
                    <c:numCache>
                      <c:formatCode>General</c:formatCode>
                      <c:ptCount val="246"/>
                      <c:pt idx="0">
                        <c:v>48.2</c:v>
                      </c:pt>
                      <c:pt idx="1">
                        <c:v>47.75</c:v>
                      </c:pt>
                      <c:pt idx="2">
                        <c:v>49</c:v>
                      </c:pt>
                      <c:pt idx="3">
                        <c:v>51.8</c:v>
                      </c:pt>
                      <c:pt idx="4">
                        <c:v>49.1</c:v>
                      </c:pt>
                      <c:pt idx="5">
                        <c:v>51.4</c:v>
                      </c:pt>
                      <c:pt idx="6">
                        <c:v>53.4</c:v>
                      </c:pt>
                      <c:pt idx="7">
                        <c:v>53.4</c:v>
                      </c:pt>
                      <c:pt idx="8">
                        <c:v>53.5</c:v>
                      </c:pt>
                      <c:pt idx="9">
                        <c:v>51.9</c:v>
                      </c:pt>
                      <c:pt idx="10">
                        <c:v>52.2</c:v>
                      </c:pt>
                      <c:pt idx="11">
                        <c:v>53</c:v>
                      </c:pt>
                      <c:pt idx="12">
                        <c:v>52.5</c:v>
                      </c:pt>
                      <c:pt idx="13">
                        <c:v>54.5</c:v>
                      </c:pt>
                      <c:pt idx="14">
                        <c:v>52.7</c:v>
                      </c:pt>
                      <c:pt idx="15">
                        <c:v>52</c:v>
                      </c:pt>
                      <c:pt idx="16">
                        <c:v>52.7</c:v>
                      </c:pt>
                      <c:pt idx="17">
                        <c:v>53.2</c:v>
                      </c:pt>
                      <c:pt idx="18">
                        <c:v>52.2</c:v>
                      </c:pt>
                      <c:pt idx="19">
                        <c:v>44.8</c:v>
                      </c:pt>
                      <c:pt idx="20">
                        <c:v>42.65</c:v>
                      </c:pt>
                      <c:pt idx="21">
                        <c:v>42.75</c:v>
                      </c:pt>
                      <c:pt idx="22">
                        <c:v>43.65</c:v>
                      </c:pt>
                      <c:pt idx="23">
                        <c:v>45</c:v>
                      </c:pt>
                      <c:pt idx="24">
                        <c:v>40.450000000000003</c:v>
                      </c:pt>
                      <c:pt idx="25">
                        <c:v>42.05</c:v>
                      </c:pt>
                      <c:pt idx="26">
                        <c:v>43.05</c:v>
                      </c:pt>
                      <c:pt idx="27">
                        <c:v>43.75</c:v>
                      </c:pt>
                      <c:pt idx="28">
                        <c:v>44.25</c:v>
                      </c:pt>
                      <c:pt idx="29">
                        <c:v>43.8</c:v>
                      </c:pt>
                      <c:pt idx="30">
                        <c:v>43.45</c:v>
                      </c:pt>
                      <c:pt idx="31">
                        <c:v>42.1</c:v>
                      </c:pt>
                      <c:pt idx="32">
                        <c:v>42.95</c:v>
                      </c:pt>
                      <c:pt idx="33">
                        <c:v>47.95</c:v>
                      </c:pt>
                      <c:pt idx="34">
                        <c:v>53.4</c:v>
                      </c:pt>
                      <c:pt idx="35">
                        <c:v>53.2</c:v>
                      </c:pt>
                      <c:pt idx="36">
                        <c:v>49.1</c:v>
                      </c:pt>
                      <c:pt idx="37">
                        <c:v>45.6</c:v>
                      </c:pt>
                      <c:pt idx="38">
                        <c:v>48.6</c:v>
                      </c:pt>
                      <c:pt idx="39">
                        <c:v>47.4</c:v>
                      </c:pt>
                      <c:pt idx="40">
                        <c:v>46.65</c:v>
                      </c:pt>
                      <c:pt idx="41">
                        <c:v>49.65</c:v>
                      </c:pt>
                      <c:pt idx="42">
                        <c:v>52.6</c:v>
                      </c:pt>
                      <c:pt idx="43">
                        <c:v>54.7</c:v>
                      </c:pt>
                      <c:pt idx="44">
                        <c:v>54.8</c:v>
                      </c:pt>
                      <c:pt idx="45">
                        <c:v>56.2</c:v>
                      </c:pt>
                      <c:pt idx="46">
                        <c:v>58.1</c:v>
                      </c:pt>
                      <c:pt idx="47">
                        <c:v>58.5</c:v>
                      </c:pt>
                      <c:pt idx="48">
                        <c:v>59.7</c:v>
                      </c:pt>
                      <c:pt idx="49">
                        <c:v>60.2</c:v>
                      </c:pt>
                      <c:pt idx="50">
                        <c:v>58</c:v>
                      </c:pt>
                      <c:pt idx="51">
                        <c:v>59.9</c:v>
                      </c:pt>
                      <c:pt idx="52">
                        <c:v>59.1</c:v>
                      </c:pt>
                      <c:pt idx="53">
                        <c:v>61</c:v>
                      </c:pt>
                      <c:pt idx="54">
                        <c:v>59.3</c:v>
                      </c:pt>
                      <c:pt idx="55">
                        <c:v>56.5</c:v>
                      </c:pt>
                      <c:pt idx="56">
                        <c:v>56.7</c:v>
                      </c:pt>
                      <c:pt idx="57">
                        <c:v>53.7</c:v>
                      </c:pt>
                      <c:pt idx="58">
                        <c:v>52</c:v>
                      </c:pt>
                      <c:pt idx="59">
                        <c:v>55.1</c:v>
                      </c:pt>
                      <c:pt idx="60">
                        <c:v>56.4</c:v>
                      </c:pt>
                      <c:pt idx="61">
                        <c:v>56.5</c:v>
                      </c:pt>
                      <c:pt idx="62">
                        <c:v>53</c:v>
                      </c:pt>
                      <c:pt idx="63">
                        <c:v>52.7</c:v>
                      </c:pt>
                      <c:pt idx="64">
                        <c:v>54.7</c:v>
                      </c:pt>
                      <c:pt idx="65">
                        <c:v>55</c:v>
                      </c:pt>
                      <c:pt idx="66">
                        <c:v>58.1</c:v>
                      </c:pt>
                      <c:pt idx="67">
                        <c:v>58.9</c:v>
                      </c:pt>
                      <c:pt idx="68">
                        <c:v>59.6</c:v>
                      </c:pt>
                      <c:pt idx="69">
                        <c:v>60.3</c:v>
                      </c:pt>
                      <c:pt idx="70">
                        <c:v>60.9</c:v>
                      </c:pt>
                      <c:pt idx="71">
                        <c:v>57.9</c:v>
                      </c:pt>
                      <c:pt idx="72">
                        <c:v>61</c:v>
                      </c:pt>
                      <c:pt idx="73">
                        <c:v>59.7</c:v>
                      </c:pt>
                      <c:pt idx="74">
                        <c:v>57.9</c:v>
                      </c:pt>
                      <c:pt idx="75">
                        <c:v>57.4</c:v>
                      </c:pt>
                      <c:pt idx="76">
                        <c:v>61.5</c:v>
                      </c:pt>
                      <c:pt idx="77">
                        <c:v>63.2</c:v>
                      </c:pt>
                      <c:pt idx="78">
                        <c:v>66.3</c:v>
                      </c:pt>
                      <c:pt idx="79">
                        <c:v>66.5</c:v>
                      </c:pt>
                      <c:pt idx="80">
                        <c:v>68.599999999999994</c:v>
                      </c:pt>
                      <c:pt idx="81">
                        <c:v>67.3</c:v>
                      </c:pt>
                      <c:pt idx="82">
                        <c:v>69.099999999999994</c:v>
                      </c:pt>
                      <c:pt idx="83">
                        <c:v>70.2</c:v>
                      </c:pt>
                      <c:pt idx="84">
                        <c:v>69.400000000000006</c:v>
                      </c:pt>
                      <c:pt idx="85">
                        <c:v>69.400000000000006</c:v>
                      </c:pt>
                      <c:pt idx="86">
                        <c:v>69</c:v>
                      </c:pt>
                      <c:pt idx="87">
                        <c:v>73.099999999999994</c:v>
                      </c:pt>
                      <c:pt idx="88">
                        <c:v>68.400000000000006</c:v>
                      </c:pt>
                      <c:pt idx="89">
                        <c:v>69.5</c:v>
                      </c:pt>
                      <c:pt idx="90">
                        <c:v>65.900000000000006</c:v>
                      </c:pt>
                      <c:pt idx="91">
                        <c:v>67.099999999999994</c:v>
                      </c:pt>
                      <c:pt idx="92">
                        <c:v>66.2</c:v>
                      </c:pt>
                      <c:pt idx="93">
                        <c:v>67.3</c:v>
                      </c:pt>
                      <c:pt idx="94">
                        <c:v>68.900000000000006</c:v>
                      </c:pt>
                      <c:pt idx="95">
                        <c:v>71.599999999999994</c:v>
                      </c:pt>
                      <c:pt idx="96">
                        <c:v>70.599999999999994</c:v>
                      </c:pt>
                      <c:pt idx="97">
                        <c:v>72.900000000000006</c:v>
                      </c:pt>
                      <c:pt idx="98">
                        <c:v>68</c:v>
                      </c:pt>
                      <c:pt idx="99">
                        <c:v>68.900000000000006</c:v>
                      </c:pt>
                      <c:pt idx="100">
                        <c:v>71.2</c:v>
                      </c:pt>
                      <c:pt idx="101">
                        <c:v>73</c:v>
                      </c:pt>
                      <c:pt idx="102">
                        <c:v>74.3</c:v>
                      </c:pt>
                      <c:pt idx="103">
                        <c:v>74.3</c:v>
                      </c:pt>
                      <c:pt idx="104">
                        <c:v>72.099999999999994</c:v>
                      </c:pt>
                      <c:pt idx="105">
                        <c:v>72.099999999999994</c:v>
                      </c:pt>
                      <c:pt idx="106">
                        <c:v>75.099999999999994</c:v>
                      </c:pt>
                      <c:pt idx="107">
                        <c:v>77.3</c:v>
                      </c:pt>
                      <c:pt idx="108">
                        <c:v>77.2</c:v>
                      </c:pt>
                      <c:pt idx="109">
                        <c:v>77.099999999999994</c:v>
                      </c:pt>
                      <c:pt idx="110">
                        <c:v>78</c:v>
                      </c:pt>
                      <c:pt idx="111">
                        <c:v>75.7</c:v>
                      </c:pt>
                      <c:pt idx="112">
                        <c:v>80.3</c:v>
                      </c:pt>
                      <c:pt idx="113">
                        <c:v>84</c:v>
                      </c:pt>
                      <c:pt idx="114">
                        <c:v>80.5</c:v>
                      </c:pt>
                      <c:pt idx="115">
                        <c:v>72.8</c:v>
                      </c:pt>
                      <c:pt idx="116">
                        <c:v>73</c:v>
                      </c:pt>
                      <c:pt idx="117">
                        <c:v>73.3</c:v>
                      </c:pt>
                      <c:pt idx="118">
                        <c:v>73.3</c:v>
                      </c:pt>
                      <c:pt idx="119">
                        <c:v>74.8</c:v>
                      </c:pt>
                      <c:pt idx="120">
                        <c:v>76.3</c:v>
                      </c:pt>
                      <c:pt idx="121">
                        <c:v>79.400000000000006</c:v>
                      </c:pt>
                      <c:pt idx="122">
                        <c:v>82.1</c:v>
                      </c:pt>
                      <c:pt idx="123">
                        <c:v>83.4</c:v>
                      </c:pt>
                      <c:pt idx="124">
                        <c:v>78.900000000000006</c:v>
                      </c:pt>
                      <c:pt idx="125">
                        <c:v>74.7</c:v>
                      </c:pt>
                      <c:pt idx="126">
                        <c:v>71</c:v>
                      </c:pt>
                      <c:pt idx="127">
                        <c:v>70.5</c:v>
                      </c:pt>
                      <c:pt idx="128">
                        <c:v>74.900000000000006</c:v>
                      </c:pt>
                      <c:pt idx="129">
                        <c:v>74.2</c:v>
                      </c:pt>
                      <c:pt idx="130">
                        <c:v>77.099999999999994</c:v>
                      </c:pt>
                      <c:pt idx="131">
                        <c:v>73.400000000000006</c:v>
                      </c:pt>
                      <c:pt idx="132">
                        <c:v>68.3</c:v>
                      </c:pt>
                      <c:pt idx="133">
                        <c:v>64.3</c:v>
                      </c:pt>
                      <c:pt idx="134">
                        <c:v>67.400000000000006</c:v>
                      </c:pt>
                      <c:pt idx="135">
                        <c:v>64.3</c:v>
                      </c:pt>
                      <c:pt idx="136">
                        <c:v>59.9</c:v>
                      </c:pt>
                      <c:pt idx="137">
                        <c:v>58.3</c:v>
                      </c:pt>
                      <c:pt idx="138">
                        <c:v>57.8</c:v>
                      </c:pt>
                      <c:pt idx="139">
                        <c:v>56.4</c:v>
                      </c:pt>
                      <c:pt idx="140">
                        <c:v>57.3</c:v>
                      </c:pt>
                      <c:pt idx="141">
                        <c:v>54</c:v>
                      </c:pt>
                      <c:pt idx="142">
                        <c:v>54.8</c:v>
                      </c:pt>
                      <c:pt idx="143">
                        <c:v>56.5</c:v>
                      </c:pt>
                      <c:pt idx="144">
                        <c:v>54.8</c:v>
                      </c:pt>
                      <c:pt idx="145">
                        <c:v>52</c:v>
                      </c:pt>
                      <c:pt idx="146">
                        <c:v>52.4</c:v>
                      </c:pt>
                      <c:pt idx="147">
                        <c:v>52.2</c:v>
                      </c:pt>
                      <c:pt idx="148">
                        <c:v>51.7</c:v>
                      </c:pt>
                      <c:pt idx="149">
                        <c:v>52.1</c:v>
                      </c:pt>
                      <c:pt idx="150">
                        <c:v>51.1</c:v>
                      </c:pt>
                      <c:pt idx="151">
                        <c:v>50.7</c:v>
                      </c:pt>
                      <c:pt idx="152">
                        <c:v>52.3</c:v>
                      </c:pt>
                      <c:pt idx="153">
                        <c:v>52.5</c:v>
                      </c:pt>
                      <c:pt idx="154">
                        <c:v>53</c:v>
                      </c:pt>
                      <c:pt idx="155">
                        <c:v>53</c:v>
                      </c:pt>
                      <c:pt idx="156">
                        <c:v>52.4</c:v>
                      </c:pt>
                      <c:pt idx="157">
                        <c:v>53.5</c:v>
                      </c:pt>
                      <c:pt idx="158">
                        <c:v>54.4</c:v>
                      </c:pt>
                      <c:pt idx="159">
                        <c:v>55.1</c:v>
                      </c:pt>
                      <c:pt idx="160">
                        <c:v>54.5</c:v>
                      </c:pt>
                      <c:pt idx="161">
                        <c:v>54.5</c:v>
                      </c:pt>
                      <c:pt idx="162">
                        <c:v>54.6</c:v>
                      </c:pt>
                      <c:pt idx="163">
                        <c:v>55.2</c:v>
                      </c:pt>
                      <c:pt idx="164">
                        <c:v>54.7</c:v>
                      </c:pt>
                      <c:pt idx="165">
                        <c:v>54.7</c:v>
                      </c:pt>
                      <c:pt idx="166">
                        <c:v>55.3</c:v>
                      </c:pt>
                      <c:pt idx="167">
                        <c:v>55.9</c:v>
                      </c:pt>
                      <c:pt idx="168">
                        <c:v>57.6</c:v>
                      </c:pt>
                      <c:pt idx="169">
                        <c:v>56.8</c:v>
                      </c:pt>
                      <c:pt idx="170">
                        <c:v>55.1</c:v>
                      </c:pt>
                      <c:pt idx="171">
                        <c:v>55</c:v>
                      </c:pt>
                      <c:pt idx="172">
                        <c:v>53.8</c:v>
                      </c:pt>
                      <c:pt idx="173">
                        <c:v>54.7</c:v>
                      </c:pt>
                      <c:pt idx="174">
                        <c:v>55.4</c:v>
                      </c:pt>
                      <c:pt idx="175">
                        <c:v>54.5</c:v>
                      </c:pt>
                      <c:pt idx="176">
                        <c:v>54.9</c:v>
                      </c:pt>
                      <c:pt idx="177">
                        <c:v>55.6</c:v>
                      </c:pt>
                      <c:pt idx="178">
                        <c:v>56.9</c:v>
                      </c:pt>
                      <c:pt idx="179">
                        <c:v>56.4</c:v>
                      </c:pt>
                      <c:pt idx="180">
                        <c:v>56.1</c:v>
                      </c:pt>
                      <c:pt idx="181">
                        <c:v>52.6</c:v>
                      </c:pt>
                      <c:pt idx="182">
                        <c:v>53.9</c:v>
                      </c:pt>
                      <c:pt idx="183">
                        <c:v>53.9</c:v>
                      </c:pt>
                      <c:pt idx="184">
                        <c:v>55.5</c:v>
                      </c:pt>
                      <c:pt idx="185">
                        <c:v>55.6</c:v>
                      </c:pt>
                      <c:pt idx="186">
                        <c:v>55</c:v>
                      </c:pt>
                      <c:pt idx="187">
                        <c:v>56.7</c:v>
                      </c:pt>
                      <c:pt idx="188">
                        <c:v>56.9</c:v>
                      </c:pt>
                      <c:pt idx="189">
                        <c:v>55.7</c:v>
                      </c:pt>
                      <c:pt idx="190">
                        <c:v>54.4</c:v>
                      </c:pt>
                      <c:pt idx="191">
                        <c:v>54.1</c:v>
                      </c:pt>
                      <c:pt idx="192">
                        <c:v>55.3</c:v>
                      </c:pt>
                      <c:pt idx="193">
                        <c:v>55.6</c:v>
                      </c:pt>
                      <c:pt idx="194">
                        <c:v>55</c:v>
                      </c:pt>
                      <c:pt idx="195">
                        <c:v>55.8</c:v>
                      </c:pt>
                      <c:pt idx="196">
                        <c:v>57.5</c:v>
                      </c:pt>
                      <c:pt idx="197">
                        <c:v>58.8</c:v>
                      </c:pt>
                      <c:pt idx="198">
                        <c:v>59.5</c:v>
                      </c:pt>
                      <c:pt idx="199">
                        <c:v>59.5</c:v>
                      </c:pt>
                      <c:pt idx="200">
                        <c:v>59</c:v>
                      </c:pt>
                      <c:pt idx="201">
                        <c:v>60.1</c:v>
                      </c:pt>
                      <c:pt idx="202">
                        <c:v>61.1</c:v>
                      </c:pt>
                      <c:pt idx="203">
                        <c:v>59.9</c:v>
                      </c:pt>
                      <c:pt idx="204">
                        <c:v>56.7</c:v>
                      </c:pt>
                      <c:pt idx="205">
                        <c:v>54.8</c:v>
                      </c:pt>
                      <c:pt idx="206">
                        <c:v>55.4</c:v>
                      </c:pt>
                      <c:pt idx="207">
                        <c:v>52.2</c:v>
                      </c:pt>
                      <c:pt idx="208">
                        <c:v>56.1</c:v>
                      </c:pt>
                      <c:pt idx="209">
                        <c:v>57</c:v>
                      </c:pt>
                      <c:pt idx="210">
                        <c:v>57.1</c:v>
                      </c:pt>
                      <c:pt idx="211">
                        <c:v>53.8</c:v>
                      </c:pt>
                      <c:pt idx="212">
                        <c:v>55.8</c:v>
                      </c:pt>
                      <c:pt idx="213">
                        <c:v>59.1</c:v>
                      </c:pt>
                      <c:pt idx="214">
                        <c:v>59</c:v>
                      </c:pt>
                      <c:pt idx="215">
                        <c:v>59.7</c:v>
                      </c:pt>
                      <c:pt idx="216">
                        <c:v>61.3</c:v>
                      </c:pt>
                      <c:pt idx="217">
                        <c:v>61.2</c:v>
                      </c:pt>
                      <c:pt idx="218">
                        <c:v>59.2</c:v>
                      </c:pt>
                      <c:pt idx="219">
                        <c:v>58.5</c:v>
                      </c:pt>
                      <c:pt idx="220">
                        <c:v>59.2</c:v>
                      </c:pt>
                      <c:pt idx="221">
                        <c:v>59.2</c:v>
                      </c:pt>
                      <c:pt idx="222">
                        <c:v>59</c:v>
                      </c:pt>
                      <c:pt idx="223">
                        <c:v>62.9</c:v>
                      </c:pt>
                      <c:pt idx="224">
                        <c:v>63.4</c:v>
                      </c:pt>
                      <c:pt idx="225">
                        <c:v>63.4</c:v>
                      </c:pt>
                      <c:pt idx="226">
                        <c:v>62.7</c:v>
                      </c:pt>
                      <c:pt idx="227">
                        <c:v>60.2</c:v>
                      </c:pt>
                      <c:pt idx="228">
                        <c:v>59.6</c:v>
                      </c:pt>
                      <c:pt idx="229">
                        <c:v>59.3</c:v>
                      </c:pt>
                      <c:pt idx="230">
                        <c:v>60.8</c:v>
                      </c:pt>
                      <c:pt idx="231">
                        <c:v>59.4</c:v>
                      </c:pt>
                      <c:pt idx="232">
                        <c:v>61.2</c:v>
                      </c:pt>
                      <c:pt idx="233">
                        <c:v>62.5</c:v>
                      </c:pt>
                      <c:pt idx="234">
                        <c:v>58.9</c:v>
                      </c:pt>
                      <c:pt idx="235">
                        <c:v>58.1</c:v>
                      </c:pt>
                      <c:pt idx="236">
                        <c:v>57</c:v>
                      </c:pt>
                      <c:pt idx="237">
                        <c:v>58.4</c:v>
                      </c:pt>
                      <c:pt idx="238">
                        <c:v>58.5</c:v>
                      </c:pt>
                      <c:pt idx="239">
                        <c:v>60.8</c:v>
                      </c:pt>
                      <c:pt idx="240">
                        <c:v>61.9</c:v>
                      </c:pt>
                      <c:pt idx="241">
                        <c:v>59.7</c:v>
                      </c:pt>
                      <c:pt idx="242">
                        <c:v>58.2</c:v>
                      </c:pt>
                      <c:pt idx="243">
                        <c:v>61</c:v>
                      </c:pt>
                      <c:pt idx="244">
                        <c:v>56.1</c:v>
                      </c:pt>
                      <c:pt idx="245">
                        <c:v>53.6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1087-4C8D-8024-51B64EBCEC8D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3"/>
          <c:order val="3"/>
          <c:tx>
            <c:strRef>
              <c:f>'1) Estadística'!$H$9</c:f>
              <c:strCache>
                <c:ptCount val="1"/>
                <c:pt idx="0">
                  <c:v>Merval USD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'1) Estadística'!$A$10:$A$255</c:f>
              <c:numCache>
                <c:formatCode>[$-C0A]mmm\-yy;@</c:formatCode>
                <c:ptCount val="246"/>
                <c:pt idx="0">
                  <c:v>45814</c:v>
                </c:pt>
                <c:pt idx="1">
                  <c:v>45813</c:v>
                </c:pt>
                <c:pt idx="2">
                  <c:v>45812</c:v>
                </c:pt>
                <c:pt idx="3">
                  <c:v>45811</c:v>
                </c:pt>
                <c:pt idx="4">
                  <c:v>45810</c:v>
                </c:pt>
                <c:pt idx="5">
                  <c:v>45807</c:v>
                </c:pt>
                <c:pt idx="6">
                  <c:v>45806</c:v>
                </c:pt>
                <c:pt idx="7">
                  <c:v>45805</c:v>
                </c:pt>
                <c:pt idx="8">
                  <c:v>45804</c:v>
                </c:pt>
                <c:pt idx="9">
                  <c:v>45803</c:v>
                </c:pt>
                <c:pt idx="10">
                  <c:v>45800</c:v>
                </c:pt>
                <c:pt idx="11">
                  <c:v>45799</c:v>
                </c:pt>
                <c:pt idx="12">
                  <c:v>45798</c:v>
                </c:pt>
                <c:pt idx="13">
                  <c:v>45797</c:v>
                </c:pt>
                <c:pt idx="14">
                  <c:v>45796</c:v>
                </c:pt>
                <c:pt idx="15">
                  <c:v>45793</c:v>
                </c:pt>
                <c:pt idx="16">
                  <c:v>45792</c:v>
                </c:pt>
                <c:pt idx="17">
                  <c:v>45791</c:v>
                </c:pt>
                <c:pt idx="18">
                  <c:v>45790</c:v>
                </c:pt>
                <c:pt idx="19">
                  <c:v>45789</c:v>
                </c:pt>
                <c:pt idx="20">
                  <c:v>45786</c:v>
                </c:pt>
                <c:pt idx="21">
                  <c:v>45785</c:v>
                </c:pt>
                <c:pt idx="22">
                  <c:v>45784</c:v>
                </c:pt>
                <c:pt idx="23">
                  <c:v>45783</c:v>
                </c:pt>
                <c:pt idx="24">
                  <c:v>45782</c:v>
                </c:pt>
                <c:pt idx="25">
                  <c:v>45777</c:v>
                </c:pt>
                <c:pt idx="26">
                  <c:v>45776</c:v>
                </c:pt>
                <c:pt idx="27">
                  <c:v>45775</c:v>
                </c:pt>
                <c:pt idx="28">
                  <c:v>45772</c:v>
                </c:pt>
                <c:pt idx="29">
                  <c:v>45771</c:v>
                </c:pt>
                <c:pt idx="30">
                  <c:v>45770</c:v>
                </c:pt>
                <c:pt idx="31">
                  <c:v>45769</c:v>
                </c:pt>
                <c:pt idx="32">
                  <c:v>45768</c:v>
                </c:pt>
                <c:pt idx="33">
                  <c:v>45763</c:v>
                </c:pt>
                <c:pt idx="34">
                  <c:v>45762</c:v>
                </c:pt>
                <c:pt idx="35">
                  <c:v>45761</c:v>
                </c:pt>
                <c:pt idx="36">
                  <c:v>45758</c:v>
                </c:pt>
                <c:pt idx="37">
                  <c:v>45757</c:v>
                </c:pt>
                <c:pt idx="38">
                  <c:v>45756</c:v>
                </c:pt>
                <c:pt idx="39">
                  <c:v>45755</c:v>
                </c:pt>
                <c:pt idx="40">
                  <c:v>45754</c:v>
                </c:pt>
                <c:pt idx="41">
                  <c:v>45751</c:v>
                </c:pt>
                <c:pt idx="42">
                  <c:v>45750</c:v>
                </c:pt>
                <c:pt idx="43">
                  <c:v>45748</c:v>
                </c:pt>
                <c:pt idx="44">
                  <c:v>45747</c:v>
                </c:pt>
                <c:pt idx="45">
                  <c:v>45744</c:v>
                </c:pt>
                <c:pt idx="46">
                  <c:v>45743</c:v>
                </c:pt>
                <c:pt idx="47">
                  <c:v>45742</c:v>
                </c:pt>
                <c:pt idx="48">
                  <c:v>45741</c:v>
                </c:pt>
                <c:pt idx="49">
                  <c:v>45737</c:v>
                </c:pt>
                <c:pt idx="50">
                  <c:v>45736</c:v>
                </c:pt>
                <c:pt idx="51">
                  <c:v>45735</c:v>
                </c:pt>
                <c:pt idx="52">
                  <c:v>45734</c:v>
                </c:pt>
                <c:pt idx="53">
                  <c:v>45733</c:v>
                </c:pt>
                <c:pt idx="54">
                  <c:v>45730</c:v>
                </c:pt>
                <c:pt idx="55">
                  <c:v>45729</c:v>
                </c:pt>
                <c:pt idx="56">
                  <c:v>45728</c:v>
                </c:pt>
                <c:pt idx="57">
                  <c:v>45727</c:v>
                </c:pt>
                <c:pt idx="58">
                  <c:v>45726</c:v>
                </c:pt>
                <c:pt idx="59">
                  <c:v>45723</c:v>
                </c:pt>
                <c:pt idx="60">
                  <c:v>45722</c:v>
                </c:pt>
                <c:pt idx="61">
                  <c:v>45721</c:v>
                </c:pt>
                <c:pt idx="62">
                  <c:v>45716</c:v>
                </c:pt>
                <c:pt idx="63">
                  <c:v>45715</c:v>
                </c:pt>
                <c:pt idx="64">
                  <c:v>45714</c:v>
                </c:pt>
                <c:pt idx="65">
                  <c:v>45713</c:v>
                </c:pt>
                <c:pt idx="66">
                  <c:v>45712</c:v>
                </c:pt>
                <c:pt idx="67">
                  <c:v>45709</c:v>
                </c:pt>
                <c:pt idx="68">
                  <c:v>45708</c:v>
                </c:pt>
                <c:pt idx="69">
                  <c:v>45707</c:v>
                </c:pt>
                <c:pt idx="70">
                  <c:v>45706</c:v>
                </c:pt>
                <c:pt idx="71">
                  <c:v>45705</c:v>
                </c:pt>
                <c:pt idx="72">
                  <c:v>45702</c:v>
                </c:pt>
                <c:pt idx="73">
                  <c:v>45701</c:v>
                </c:pt>
                <c:pt idx="74">
                  <c:v>45700</c:v>
                </c:pt>
                <c:pt idx="75">
                  <c:v>45699</c:v>
                </c:pt>
                <c:pt idx="76">
                  <c:v>45698</c:v>
                </c:pt>
                <c:pt idx="77">
                  <c:v>45695</c:v>
                </c:pt>
                <c:pt idx="78">
                  <c:v>45694</c:v>
                </c:pt>
                <c:pt idx="79">
                  <c:v>45693</c:v>
                </c:pt>
                <c:pt idx="80">
                  <c:v>45692</c:v>
                </c:pt>
                <c:pt idx="81">
                  <c:v>45691</c:v>
                </c:pt>
                <c:pt idx="82">
                  <c:v>45688</c:v>
                </c:pt>
                <c:pt idx="83">
                  <c:v>45687</c:v>
                </c:pt>
                <c:pt idx="84">
                  <c:v>45686</c:v>
                </c:pt>
                <c:pt idx="85">
                  <c:v>45685</c:v>
                </c:pt>
                <c:pt idx="86">
                  <c:v>45684</c:v>
                </c:pt>
                <c:pt idx="87">
                  <c:v>45681</c:v>
                </c:pt>
                <c:pt idx="88">
                  <c:v>45680</c:v>
                </c:pt>
                <c:pt idx="89">
                  <c:v>45679</c:v>
                </c:pt>
                <c:pt idx="90">
                  <c:v>45678</c:v>
                </c:pt>
                <c:pt idx="91">
                  <c:v>45677</c:v>
                </c:pt>
                <c:pt idx="92">
                  <c:v>45674</c:v>
                </c:pt>
                <c:pt idx="93">
                  <c:v>45673</c:v>
                </c:pt>
                <c:pt idx="94">
                  <c:v>45672</c:v>
                </c:pt>
                <c:pt idx="95">
                  <c:v>45671</c:v>
                </c:pt>
                <c:pt idx="96">
                  <c:v>45670</c:v>
                </c:pt>
                <c:pt idx="97">
                  <c:v>45667</c:v>
                </c:pt>
                <c:pt idx="98">
                  <c:v>45666</c:v>
                </c:pt>
                <c:pt idx="99">
                  <c:v>45665</c:v>
                </c:pt>
                <c:pt idx="100">
                  <c:v>45664</c:v>
                </c:pt>
                <c:pt idx="101">
                  <c:v>45663</c:v>
                </c:pt>
                <c:pt idx="102">
                  <c:v>45660</c:v>
                </c:pt>
                <c:pt idx="103">
                  <c:v>45659</c:v>
                </c:pt>
                <c:pt idx="104">
                  <c:v>45657</c:v>
                </c:pt>
                <c:pt idx="105">
                  <c:v>45656</c:v>
                </c:pt>
                <c:pt idx="106">
                  <c:v>45653</c:v>
                </c:pt>
                <c:pt idx="107">
                  <c:v>45652</c:v>
                </c:pt>
                <c:pt idx="108">
                  <c:v>45650</c:v>
                </c:pt>
                <c:pt idx="109">
                  <c:v>45649</c:v>
                </c:pt>
                <c:pt idx="110">
                  <c:v>45646</c:v>
                </c:pt>
                <c:pt idx="111">
                  <c:v>45645</c:v>
                </c:pt>
                <c:pt idx="112">
                  <c:v>45644</c:v>
                </c:pt>
                <c:pt idx="113">
                  <c:v>45643</c:v>
                </c:pt>
                <c:pt idx="114">
                  <c:v>45642</c:v>
                </c:pt>
                <c:pt idx="115">
                  <c:v>45639</c:v>
                </c:pt>
                <c:pt idx="116">
                  <c:v>45638</c:v>
                </c:pt>
                <c:pt idx="117">
                  <c:v>45637</c:v>
                </c:pt>
                <c:pt idx="118">
                  <c:v>45636</c:v>
                </c:pt>
                <c:pt idx="119">
                  <c:v>45635</c:v>
                </c:pt>
                <c:pt idx="120">
                  <c:v>45632</c:v>
                </c:pt>
                <c:pt idx="121">
                  <c:v>45631</c:v>
                </c:pt>
                <c:pt idx="122">
                  <c:v>45630</c:v>
                </c:pt>
                <c:pt idx="123">
                  <c:v>45629</c:v>
                </c:pt>
                <c:pt idx="124">
                  <c:v>45628</c:v>
                </c:pt>
                <c:pt idx="125">
                  <c:v>45625</c:v>
                </c:pt>
                <c:pt idx="126">
                  <c:v>45624</c:v>
                </c:pt>
                <c:pt idx="127">
                  <c:v>45623</c:v>
                </c:pt>
                <c:pt idx="128">
                  <c:v>45622</c:v>
                </c:pt>
                <c:pt idx="129">
                  <c:v>45621</c:v>
                </c:pt>
                <c:pt idx="130">
                  <c:v>45618</c:v>
                </c:pt>
                <c:pt idx="131">
                  <c:v>45617</c:v>
                </c:pt>
                <c:pt idx="132">
                  <c:v>45616</c:v>
                </c:pt>
                <c:pt idx="133">
                  <c:v>45615</c:v>
                </c:pt>
                <c:pt idx="134">
                  <c:v>45611</c:v>
                </c:pt>
                <c:pt idx="135">
                  <c:v>45610</c:v>
                </c:pt>
                <c:pt idx="136">
                  <c:v>45609</c:v>
                </c:pt>
                <c:pt idx="137">
                  <c:v>45608</c:v>
                </c:pt>
                <c:pt idx="138">
                  <c:v>45607</c:v>
                </c:pt>
                <c:pt idx="139">
                  <c:v>45604</c:v>
                </c:pt>
                <c:pt idx="140">
                  <c:v>45603</c:v>
                </c:pt>
                <c:pt idx="141">
                  <c:v>45602</c:v>
                </c:pt>
                <c:pt idx="142">
                  <c:v>45601</c:v>
                </c:pt>
                <c:pt idx="143">
                  <c:v>45600</c:v>
                </c:pt>
                <c:pt idx="144">
                  <c:v>45597</c:v>
                </c:pt>
                <c:pt idx="145">
                  <c:v>45596</c:v>
                </c:pt>
                <c:pt idx="146">
                  <c:v>45595</c:v>
                </c:pt>
                <c:pt idx="147">
                  <c:v>45594</c:v>
                </c:pt>
                <c:pt idx="148">
                  <c:v>45593</c:v>
                </c:pt>
                <c:pt idx="149">
                  <c:v>45590</c:v>
                </c:pt>
                <c:pt idx="150">
                  <c:v>45589</c:v>
                </c:pt>
                <c:pt idx="151">
                  <c:v>45588</c:v>
                </c:pt>
                <c:pt idx="152">
                  <c:v>45587</c:v>
                </c:pt>
                <c:pt idx="153">
                  <c:v>45586</c:v>
                </c:pt>
                <c:pt idx="154">
                  <c:v>45583</c:v>
                </c:pt>
                <c:pt idx="155">
                  <c:v>45582</c:v>
                </c:pt>
                <c:pt idx="156">
                  <c:v>45581</c:v>
                </c:pt>
                <c:pt idx="157">
                  <c:v>45580</c:v>
                </c:pt>
                <c:pt idx="158">
                  <c:v>45579</c:v>
                </c:pt>
                <c:pt idx="159">
                  <c:v>45575</c:v>
                </c:pt>
                <c:pt idx="160">
                  <c:v>45574</c:v>
                </c:pt>
                <c:pt idx="161">
                  <c:v>45573</c:v>
                </c:pt>
                <c:pt idx="162">
                  <c:v>45572</c:v>
                </c:pt>
                <c:pt idx="163">
                  <c:v>45569</c:v>
                </c:pt>
                <c:pt idx="164">
                  <c:v>45568</c:v>
                </c:pt>
                <c:pt idx="165">
                  <c:v>45567</c:v>
                </c:pt>
                <c:pt idx="166">
                  <c:v>45566</c:v>
                </c:pt>
                <c:pt idx="167">
                  <c:v>45565</c:v>
                </c:pt>
                <c:pt idx="168">
                  <c:v>45562</c:v>
                </c:pt>
                <c:pt idx="169">
                  <c:v>45561</c:v>
                </c:pt>
                <c:pt idx="170">
                  <c:v>45560</c:v>
                </c:pt>
                <c:pt idx="171">
                  <c:v>45559</c:v>
                </c:pt>
                <c:pt idx="172">
                  <c:v>45558</c:v>
                </c:pt>
                <c:pt idx="173">
                  <c:v>45555</c:v>
                </c:pt>
                <c:pt idx="174">
                  <c:v>45554</c:v>
                </c:pt>
                <c:pt idx="175">
                  <c:v>45553</c:v>
                </c:pt>
                <c:pt idx="176">
                  <c:v>45552</c:v>
                </c:pt>
                <c:pt idx="177">
                  <c:v>45551</c:v>
                </c:pt>
                <c:pt idx="178">
                  <c:v>45548</c:v>
                </c:pt>
                <c:pt idx="179">
                  <c:v>45547</c:v>
                </c:pt>
                <c:pt idx="180">
                  <c:v>45546</c:v>
                </c:pt>
                <c:pt idx="181">
                  <c:v>45545</c:v>
                </c:pt>
                <c:pt idx="182">
                  <c:v>45544</c:v>
                </c:pt>
                <c:pt idx="183">
                  <c:v>45541</c:v>
                </c:pt>
                <c:pt idx="184">
                  <c:v>45540</c:v>
                </c:pt>
                <c:pt idx="185">
                  <c:v>45539</c:v>
                </c:pt>
                <c:pt idx="186">
                  <c:v>45538</c:v>
                </c:pt>
                <c:pt idx="187">
                  <c:v>45537</c:v>
                </c:pt>
                <c:pt idx="188">
                  <c:v>45534</c:v>
                </c:pt>
                <c:pt idx="189">
                  <c:v>45533</c:v>
                </c:pt>
                <c:pt idx="190">
                  <c:v>45532</c:v>
                </c:pt>
                <c:pt idx="191">
                  <c:v>45531</c:v>
                </c:pt>
                <c:pt idx="192">
                  <c:v>45530</c:v>
                </c:pt>
                <c:pt idx="193">
                  <c:v>45527</c:v>
                </c:pt>
                <c:pt idx="194">
                  <c:v>45526</c:v>
                </c:pt>
                <c:pt idx="195">
                  <c:v>45525</c:v>
                </c:pt>
                <c:pt idx="196">
                  <c:v>45524</c:v>
                </c:pt>
                <c:pt idx="197">
                  <c:v>45523</c:v>
                </c:pt>
                <c:pt idx="198">
                  <c:v>45520</c:v>
                </c:pt>
                <c:pt idx="199">
                  <c:v>45519</c:v>
                </c:pt>
                <c:pt idx="200">
                  <c:v>45518</c:v>
                </c:pt>
                <c:pt idx="201">
                  <c:v>45517</c:v>
                </c:pt>
                <c:pt idx="202">
                  <c:v>45516</c:v>
                </c:pt>
                <c:pt idx="203">
                  <c:v>45513</c:v>
                </c:pt>
                <c:pt idx="204">
                  <c:v>45512</c:v>
                </c:pt>
                <c:pt idx="205">
                  <c:v>45511</c:v>
                </c:pt>
                <c:pt idx="206">
                  <c:v>45510</c:v>
                </c:pt>
                <c:pt idx="207">
                  <c:v>45509</c:v>
                </c:pt>
                <c:pt idx="208">
                  <c:v>45506</c:v>
                </c:pt>
                <c:pt idx="209">
                  <c:v>45505</c:v>
                </c:pt>
                <c:pt idx="210">
                  <c:v>45504</c:v>
                </c:pt>
                <c:pt idx="211">
                  <c:v>45503</c:v>
                </c:pt>
                <c:pt idx="212">
                  <c:v>45502</c:v>
                </c:pt>
                <c:pt idx="213">
                  <c:v>45499</c:v>
                </c:pt>
                <c:pt idx="214">
                  <c:v>45498</c:v>
                </c:pt>
                <c:pt idx="215">
                  <c:v>45497</c:v>
                </c:pt>
                <c:pt idx="216">
                  <c:v>45496</c:v>
                </c:pt>
                <c:pt idx="217">
                  <c:v>45495</c:v>
                </c:pt>
                <c:pt idx="218">
                  <c:v>45492</c:v>
                </c:pt>
                <c:pt idx="219">
                  <c:v>45491</c:v>
                </c:pt>
                <c:pt idx="220">
                  <c:v>45490</c:v>
                </c:pt>
                <c:pt idx="221">
                  <c:v>45489</c:v>
                </c:pt>
                <c:pt idx="222">
                  <c:v>45488</c:v>
                </c:pt>
                <c:pt idx="223">
                  <c:v>45485</c:v>
                </c:pt>
                <c:pt idx="224">
                  <c:v>45484</c:v>
                </c:pt>
                <c:pt idx="225">
                  <c:v>45483</c:v>
                </c:pt>
                <c:pt idx="226">
                  <c:v>45481</c:v>
                </c:pt>
                <c:pt idx="227">
                  <c:v>45478</c:v>
                </c:pt>
                <c:pt idx="228">
                  <c:v>45477</c:v>
                </c:pt>
                <c:pt idx="229">
                  <c:v>45476</c:v>
                </c:pt>
                <c:pt idx="230">
                  <c:v>45475</c:v>
                </c:pt>
                <c:pt idx="231">
                  <c:v>45474</c:v>
                </c:pt>
                <c:pt idx="232">
                  <c:v>45471</c:v>
                </c:pt>
                <c:pt idx="233">
                  <c:v>45470</c:v>
                </c:pt>
                <c:pt idx="234">
                  <c:v>45469</c:v>
                </c:pt>
                <c:pt idx="235">
                  <c:v>45468</c:v>
                </c:pt>
                <c:pt idx="236">
                  <c:v>45467</c:v>
                </c:pt>
                <c:pt idx="237">
                  <c:v>45462</c:v>
                </c:pt>
                <c:pt idx="238">
                  <c:v>45461</c:v>
                </c:pt>
                <c:pt idx="239">
                  <c:v>45457</c:v>
                </c:pt>
                <c:pt idx="240">
                  <c:v>45456</c:v>
                </c:pt>
                <c:pt idx="241">
                  <c:v>45455</c:v>
                </c:pt>
                <c:pt idx="242">
                  <c:v>45454</c:v>
                </c:pt>
                <c:pt idx="243">
                  <c:v>45453</c:v>
                </c:pt>
                <c:pt idx="244">
                  <c:v>45450</c:v>
                </c:pt>
                <c:pt idx="245">
                  <c:v>45449</c:v>
                </c:pt>
              </c:numCache>
            </c:numRef>
          </c:cat>
          <c:val>
            <c:numRef>
              <c:f>'1) Estadística'!$H$10:$H$255</c:f>
              <c:numCache>
                <c:formatCode>0.00</c:formatCode>
                <c:ptCount val="246"/>
                <c:pt idx="0">
                  <c:v>1808.7709661187519</c:v>
                </c:pt>
                <c:pt idx="1">
                  <c:v>1781.4421577014039</c:v>
                </c:pt>
                <c:pt idx="2">
                  <c:v>1782.5005028410519</c:v>
                </c:pt>
                <c:pt idx="3">
                  <c:v>1869.9622584414165</c:v>
                </c:pt>
                <c:pt idx="4">
                  <c:v>1863.7679720894087</c:v>
                </c:pt>
                <c:pt idx="5">
                  <c:v>1912.3548316718691</c:v>
                </c:pt>
                <c:pt idx="6">
                  <c:v>1952.8350537270496</c:v>
                </c:pt>
                <c:pt idx="7">
                  <c:v>2012.6455185439561</c:v>
                </c:pt>
                <c:pt idx="8">
                  <c:v>2027.9843709635754</c:v>
                </c:pt>
                <c:pt idx="9">
                  <c:v>2069.8084545406923</c:v>
                </c:pt>
                <c:pt idx="10">
                  <c:v>2051.8334761921424</c:v>
                </c:pt>
                <c:pt idx="11">
                  <c:v>2024.4138558273355</c:v>
                </c:pt>
                <c:pt idx="12">
                  <c:v>2019.1055884401114</c:v>
                </c:pt>
                <c:pt idx="13">
                  <c:v>2062.2579834045764</c:v>
                </c:pt>
                <c:pt idx="14">
                  <c:v>2062.645481689111</c:v>
                </c:pt>
                <c:pt idx="15">
                  <c:v>2007.0295726850891</c:v>
                </c:pt>
                <c:pt idx="16">
                  <c:v>2014.5785857027661</c:v>
                </c:pt>
                <c:pt idx="17">
                  <c:v>2017.3572643130103</c:v>
                </c:pt>
                <c:pt idx="18">
                  <c:v>2003.1932563194614</c:v>
                </c:pt>
                <c:pt idx="19">
                  <c:v>1954.4293287767262</c:v>
                </c:pt>
                <c:pt idx="20">
                  <c:v>1848.0613752174181</c:v>
                </c:pt>
                <c:pt idx="21">
                  <c:v>1803.2766417101075</c:v>
                </c:pt>
                <c:pt idx="22">
                  <c:v>1781.8253911960348</c:v>
                </c:pt>
                <c:pt idx="23">
                  <c:v>1775.5724777219264</c:v>
                </c:pt>
                <c:pt idx="24">
                  <c:v>1712.4427476473911</c:v>
                </c:pt>
                <c:pt idx="25">
                  <c:v>1775.30590601418</c:v>
                </c:pt>
                <c:pt idx="26">
                  <c:v>1840.2145931892767</c:v>
                </c:pt>
                <c:pt idx="27">
                  <c:v>1852.236411542221</c:v>
                </c:pt>
                <c:pt idx="28">
                  <c:v>1879.0471103830305</c:v>
                </c:pt>
                <c:pt idx="29">
                  <c:v>1881.7436137307948</c:v>
                </c:pt>
                <c:pt idx="30">
                  <c:v>1917.2962328767123</c:v>
                </c:pt>
                <c:pt idx="31">
                  <c:v>1897.5174941686103</c:v>
                </c:pt>
                <c:pt idx="32">
                  <c:v>1823.1386175673749</c:v>
                </c:pt>
                <c:pt idx="33">
                  <c:v>1868.0152324753628</c:v>
                </c:pt>
                <c:pt idx="34">
                  <c:v>1845.285968171904</c:v>
                </c:pt>
                <c:pt idx="35">
                  <c:v>1886.8278283070049</c:v>
                </c:pt>
                <c:pt idx="36">
                  <c:v>1686.6064665161664</c:v>
                </c:pt>
                <c:pt idx="37">
                  <c:v>1548.0020307769005</c:v>
                </c:pt>
                <c:pt idx="38">
                  <c:v>1627.4461139432967</c:v>
                </c:pt>
                <c:pt idx="39">
                  <c:v>1446.062887736274</c:v>
                </c:pt>
                <c:pt idx="40">
                  <c:v>1478.4305104535338</c:v>
                </c:pt>
                <c:pt idx="41">
                  <c:v>1572.4806779863327</c:v>
                </c:pt>
                <c:pt idx="42">
                  <c:v>1724.7417425838626</c:v>
                </c:pt>
                <c:pt idx="43">
                  <c:v>1792.7611508821046</c:v>
                </c:pt>
                <c:pt idx="44">
                  <c:v>1779.9194426052345</c:v>
                </c:pt>
                <c:pt idx="45">
                  <c:v>1826.2359494487268</c:v>
                </c:pt>
                <c:pt idx="46">
                  <c:v>1866.5171904139165</c:v>
                </c:pt>
                <c:pt idx="47">
                  <c:v>1883.2276575874284</c:v>
                </c:pt>
                <c:pt idx="48">
                  <c:v>1922.0271575368927</c:v>
                </c:pt>
                <c:pt idx="49">
                  <c:v>1890.5379422320971</c:v>
                </c:pt>
                <c:pt idx="50">
                  <c:v>1834.1110135990496</c:v>
                </c:pt>
                <c:pt idx="51">
                  <c:v>1859.504967427976</c:v>
                </c:pt>
                <c:pt idx="52">
                  <c:v>1761.3351599298096</c:v>
                </c:pt>
                <c:pt idx="53">
                  <c:v>1876.1588530213739</c:v>
                </c:pt>
                <c:pt idx="54">
                  <c:v>1886.9061949619481</c:v>
                </c:pt>
                <c:pt idx="55">
                  <c:v>1809.5577803899316</c:v>
                </c:pt>
                <c:pt idx="56">
                  <c:v>1848.9081539687963</c:v>
                </c:pt>
                <c:pt idx="57">
                  <c:v>1755.1486126237421</c:v>
                </c:pt>
                <c:pt idx="58">
                  <c:v>1740.427570549751</c:v>
                </c:pt>
                <c:pt idx="59">
                  <c:v>1851.4065863019975</c:v>
                </c:pt>
                <c:pt idx="60">
                  <c:v>1833.9563844053448</c:v>
                </c:pt>
                <c:pt idx="61">
                  <c:v>1853.8261650921631</c:v>
                </c:pt>
                <c:pt idx="62">
                  <c:v>1795.5526341495181</c:v>
                </c:pt>
                <c:pt idx="63">
                  <c:v>1805.0479720889664</c:v>
                </c:pt>
                <c:pt idx="64">
                  <c:v>1877.7747284492721</c:v>
                </c:pt>
                <c:pt idx="65">
                  <c:v>1883.641993135087</c:v>
                </c:pt>
                <c:pt idx="66">
                  <c:v>1944.875691522841</c:v>
                </c:pt>
                <c:pt idx="67">
                  <c:v>1960.833167479351</c:v>
                </c:pt>
                <c:pt idx="68">
                  <c:v>1998.4254514700763</c:v>
                </c:pt>
                <c:pt idx="69">
                  <c:v>1998.2192185445895</c:v>
                </c:pt>
                <c:pt idx="70">
                  <c:v>1987.8692360118353</c:v>
                </c:pt>
                <c:pt idx="71">
                  <c:v>1862.8273516845857</c:v>
                </c:pt>
                <c:pt idx="72">
                  <c:v>2016.5774825151195</c:v>
                </c:pt>
                <c:pt idx="73">
                  <c:v>1981.4492503514634</c:v>
                </c:pt>
                <c:pt idx="74">
                  <c:v>1926.7893117545414</c:v>
                </c:pt>
                <c:pt idx="75">
                  <c:v>1925.3656264555195</c:v>
                </c:pt>
                <c:pt idx="76">
                  <c:v>2019.6166611771264</c:v>
                </c:pt>
                <c:pt idx="77">
                  <c:v>2022.9739968354165</c:v>
                </c:pt>
                <c:pt idx="78">
                  <c:v>2105.4838818196345</c:v>
                </c:pt>
                <c:pt idx="79">
                  <c:v>2078.7237612631507</c:v>
                </c:pt>
                <c:pt idx="80">
                  <c:v>2124.2819865319866</c:v>
                </c:pt>
                <c:pt idx="81">
                  <c:v>2107.307095230824</c:v>
                </c:pt>
                <c:pt idx="82">
                  <c:v>2201.8209290945151</c:v>
                </c:pt>
                <c:pt idx="83">
                  <c:v>2231.393951360214</c:v>
                </c:pt>
                <c:pt idx="84">
                  <c:v>2187.9345172603494</c:v>
                </c:pt>
                <c:pt idx="85">
                  <c:v>2097.1850298782483</c:v>
                </c:pt>
                <c:pt idx="86">
                  <c:v>2098.6549448469309</c:v>
                </c:pt>
                <c:pt idx="87">
                  <c:v>2220.2744970798185</c:v>
                </c:pt>
                <c:pt idx="88">
                  <c:v>2248.7257463485676</c:v>
                </c:pt>
                <c:pt idx="89">
                  <c:v>2286.1894224291573</c:v>
                </c:pt>
                <c:pt idx="90">
                  <c:v>2243.6594839030158</c:v>
                </c:pt>
                <c:pt idx="91">
                  <c:v>2175.8619950253023</c:v>
                </c:pt>
                <c:pt idx="92">
                  <c:v>2153.7140602484046</c:v>
                </c:pt>
                <c:pt idx="93">
                  <c:v>2254.982290335583</c:v>
                </c:pt>
                <c:pt idx="94">
                  <c:v>2323.3312572484001</c:v>
                </c:pt>
                <c:pt idx="95">
                  <c:v>2350.3334250556782</c:v>
                </c:pt>
                <c:pt idx="96">
                  <c:v>2282.6303934801108</c:v>
                </c:pt>
                <c:pt idx="97">
                  <c:v>2409.8931710208676</c:v>
                </c:pt>
                <c:pt idx="98">
                  <c:v>2430.6431939803638</c:v>
                </c:pt>
                <c:pt idx="99">
                  <c:v>2388.9664468713509</c:v>
                </c:pt>
                <c:pt idx="100">
                  <c:v>2423.7780945919253</c:v>
                </c:pt>
                <c:pt idx="101">
                  <c:v>2404.2955908985573</c:v>
                </c:pt>
                <c:pt idx="102">
                  <c:v>2340.6448348028953</c:v>
                </c:pt>
                <c:pt idx="103">
                  <c:v>2319.5939317798507</c:v>
                </c:pt>
                <c:pt idx="104">
                  <c:v>2319</c:v>
                </c:pt>
                <c:pt idx="105">
                  <c:v>2164.7412018010782</c:v>
                </c:pt>
                <c:pt idx="106">
                  <c:v>2201.9766180289776</c:v>
                </c:pt>
                <c:pt idx="107">
                  <c:v>2218.3027440664791</c:v>
                </c:pt>
                <c:pt idx="108">
                  <c:v>2197.3181908231909</c:v>
                </c:pt>
                <c:pt idx="109">
                  <c:v>2151.8996816656631</c:v>
                </c:pt>
                <c:pt idx="110">
                  <c:v>2160.3589563999299</c:v>
                </c:pt>
                <c:pt idx="111">
                  <c:v>2139.246501471901</c:v>
                </c:pt>
                <c:pt idx="112">
                  <c:v>2228.5819734445995</c:v>
                </c:pt>
                <c:pt idx="113">
                  <c:v>2263.4166040899008</c:v>
                </c:pt>
                <c:pt idx="114">
                  <c:v>2311.4344660855973</c:v>
                </c:pt>
                <c:pt idx="115">
                  <c:v>2209.2125004659488</c:v>
                </c:pt>
                <c:pt idx="116">
                  <c:v>2177.3461789247881</c:v>
                </c:pt>
                <c:pt idx="117">
                  <c:v>2166.1207597473813</c:v>
                </c:pt>
                <c:pt idx="118">
                  <c:v>2075.6287010145966</c:v>
                </c:pt>
                <c:pt idx="119">
                  <c:v>2124.1184683268052</c:v>
                </c:pt>
                <c:pt idx="120">
                  <c:v>2098.9052538286337</c:v>
                </c:pt>
                <c:pt idx="121">
                  <c:v>2082.1561723280861</c:v>
                </c:pt>
                <c:pt idx="122">
                  <c:v>2059.0870449857853</c:v>
                </c:pt>
                <c:pt idx="123">
                  <c:v>2141.9513782364152</c:v>
                </c:pt>
                <c:pt idx="124">
                  <c:v>2147.490854999111</c:v>
                </c:pt>
                <c:pt idx="125">
                  <c:v>2099.2554101286532</c:v>
                </c:pt>
                <c:pt idx="126">
                  <c:v>2074.8762963307445</c:v>
                </c:pt>
                <c:pt idx="127">
                  <c:v>2052.1351932328939</c:v>
                </c:pt>
                <c:pt idx="128">
                  <c:v>2092.9508326208975</c:v>
                </c:pt>
                <c:pt idx="129">
                  <c:v>2058.8271868445963</c:v>
                </c:pt>
                <c:pt idx="130">
                  <c:v>2047.378748611625</c:v>
                </c:pt>
                <c:pt idx="131">
                  <c:v>1983.4990036609665</c:v>
                </c:pt>
                <c:pt idx="132">
                  <c:v>1996.512801667194</c:v>
                </c:pt>
                <c:pt idx="133">
                  <c:v>1975.977100230672</c:v>
                </c:pt>
                <c:pt idx="134">
                  <c:v>1885.8371653801937</c:v>
                </c:pt>
                <c:pt idx="135">
                  <c:v>1887.9915261134975</c:v>
                </c:pt>
                <c:pt idx="136">
                  <c:v>1821.9006163534357</c:v>
                </c:pt>
                <c:pt idx="137">
                  <c:v>1789.4351476342936</c:v>
                </c:pt>
                <c:pt idx="138">
                  <c:v>1757.2428949020091</c:v>
                </c:pt>
                <c:pt idx="139">
                  <c:v>1738.1766501504158</c:v>
                </c:pt>
                <c:pt idx="140">
                  <c:v>1774.2742013574064</c:v>
                </c:pt>
                <c:pt idx="141">
                  <c:v>1725.2598870549625</c:v>
                </c:pt>
                <c:pt idx="142">
                  <c:v>1674.279263112267</c:v>
                </c:pt>
                <c:pt idx="143">
                  <c:v>1666.5213540128871</c:v>
                </c:pt>
                <c:pt idx="144">
                  <c:v>1640.1394470279276</c:v>
                </c:pt>
                <c:pt idx="145">
                  <c:v>1633.9457426687643</c:v>
                </c:pt>
                <c:pt idx="146">
                  <c:v>1614.2519238878349</c:v>
                </c:pt>
                <c:pt idx="147">
                  <c:v>1621.5706215185646</c:v>
                </c:pt>
                <c:pt idx="148">
                  <c:v>1632.821730236823</c:v>
                </c:pt>
                <c:pt idx="149">
                  <c:v>1640.1893747646282</c:v>
                </c:pt>
                <c:pt idx="150">
                  <c:v>1594.8230603448276</c:v>
                </c:pt>
                <c:pt idx="151">
                  <c:v>1526.9654902365769</c:v>
                </c:pt>
                <c:pt idx="152">
                  <c:v>1555.5816845529575</c:v>
                </c:pt>
                <c:pt idx="153">
                  <c:v>1558.9432233648138</c:v>
                </c:pt>
                <c:pt idx="154">
                  <c:v>1573.1243259566024</c:v>
                </c:pt>
                <c:pt idx="155">
                  <c:v>1553.6425319075543</c:v>
                </c:pt>
                <c:pt idx="156">
                  <c:v>1531.2318409504348</c:v>
                </c:pt>
                <c:pt idx="157">
                  <c:v>1593.3279820336693</c:v>
                </c:pt>
                <c:pt idx="158">
                  <c:v>1577.4509826205544</c:v>
                </c:pt>
                <c:pt idx="159">
                  <c:v>1571.1370149095908</c:v>
                </c:pt>
                <c:pt idx="160">
                  <c:v>1544.302553599442</c:v>
                </c:pt>
                <c:pt idx="161">
                  <c:v>1480.3851343263163</c:v>
                </c:pt>
                <c:pt idx="162">
                  <c:v>1448.0509007068838</c:v>
                </c:pt>
                <c:pt idx="163">
                  <c:v>1479.1451933441122</c:v>
                </c:pt>
                <c:pt idx="164">
                  <c:v>1472.6302549213754</c:v>
                </c:pt>
                <c:pt idx="165">
                  <c:v>1420.4097688631978</c:v>
                </c:pt>
                <c:pt idx="166">
                  <c:v>1416.9360200644226</c:v>
                </c:pt>
                <c:pt idx="167">
                  <c:v>1397.0030616527986</c:v>
                </c:pt>
                <c:pt idx="168">
                  <c:v>1430.5746222314222</c:v>
                </c:pt>
                <c:pt idx="169">
                  <c:v>1416.7972500929022</c:v>
                </c:pt>
                <c:pt idx="170">
                  <c:v>1441.6809942221378</c:v>
                </c:pt>
                <c:pt idx="171">
                  <c:v>1476.2695215991612</c:v>
                </c:pt>
                <c:pt idx="172">
                  <c:v>1486.1968420266153</c:v>
                </c:pt>
                <c:pt idx="173">
                  <c:v>1518.9802933088911</c:v>
                </c:pt>
                <c:pt idx="174">
                  <c:v>1542.1152587372885</c:v>
                </c:pt>
                <c:pt idx="175">
                  <c:v>1504.1591089896579</c:v>
                </c:pt>
                <c:pt idx="176">
                  <c:v>1493.606470956476</c:v>
                </c:pt>
                <c:pt idx="177">
                  <c:v>1491.1923633731451</c:v>
                </c:pt>
                <c:pt idx="178">
                  <c:v>1482.0134851980793</c:v>
                </c:pt>
                <c:pt idx="179">
                  <c:v>1444.2008987639977</c:v>
                </c:pt>
                <c:pt idx="180">
                  <c:v>1434.0642680626909</c:v>
                </c:pt>
                <c:pt idx="181">
                  <c:v>1393.9605994603555</c:v>
                </c:pt>
                <c:pt idx="182">
                  <c:v>1417.5859411946967</c:v>
                </c:pt>
                <c:pt idx="183">
                  <c:v>1384.1221349497939</c:v>
                </c:pt>
                <c:pt idx="184">
                  <c:v>1402.4761284377435</c:v>
                </c:pt>
                <c:pt idx="185">
                  <c:v>1404.0193539817478</c:v>
                </c:pt>
                <c:pt idx="186">
                  <c:v>1340.5226889977287</c:v>
                </c:pt>
                <c:pt idx="187">
                  <c:v>1365.6180730111048</c:v>
                </c:pt>
                <c:pt idx="188">
                  <c:v>1341.8891996624893</c:v>
                </c:pt>
                <c:pt idx="189">
                  <c:v>1305.8324746525293</c:v>
                </c:pt>
                <c:pt idx="190">
                  <c:v>1261.548116893752</c:v>
                </c:pt>
                <c:pt idx="191">
                  <c:v>1256.5282967524238</c:v>
                </c:pt>
                <c:pt idx="192">
                  <c:v>1236.5631670871337</c:v>
                </c:pt>
                <c:pt idx="193">
                  <c:v>1252.800639276526</c:v>
                </c:pt>
                <c:pt idx="194">
                  <c:v>1229.25732721336</c:v>
                </c:pt>
                <c:pt idx="195">
                  <c:v>1254.945329978711</c:v>
                </c:pt>
                <c:pt idx="196">
                  <c:v>1288.4368545293598</c:v>
                </c:pt>
                <c:pt idx="197">
                  <c:v>1284.4544066351446</c:v>
                </c:pt>
                <c:pt idx="198">
                  <c:v>1273.3184436037984</c:v>
                </c:pt>
                <c:pt idx="199">
                  <c:v>1288.0913015882966</c:v>
                </c:pt>
                <c:pt idx="200">
                  <c:v>1266.7855155618256</c:v>
                </c:pt>
                <c:pt idx="201">
                  <c:v>1250.8521717263004</c:v>
                </c:pt>
                <c:pt idx="202">
                  <c:v>1237.1278311986607</c:v>
                </c:pt>
                <c:pt idx="203">
                  <c:v>1220.0042210017946</c:v>
                </c:pt>
                <c:pt idx="204">
                  <c:v>1167.8169712694112</c:v>
                </c:pt>
                <c:pt idx="205">
                  <c:v>1090.2516986373362</c:v>
                </c:pt>
                <c:pt idx="206">
                  <c:v>1090.669709667764</c:v>
                </c:pt>
                <c:pt idx="207">
                  <c:v>1055.2957083107372</c:v>
                </c:pt>
                <c:pt idx="208">
                  <c:v>1074.442955233726</c:v>
                </c:pt>
                <c:pt idx="209">
                  <c:v>1153.8884274001261</c:v>
                </c:pt>
                <c:pt idx="210">
                  <c:v>1145.7659684689909</c:v>
                </c:pt>
                <c:pt idx="211">
                  <c:v>1113.5718127686421</c:v>
                </c:pt>
                <c:pt idx="212">
                  <c:v>1142.4307981828981</c:v>
                </c:pt>
                <c:pt idx="213">
                  <c:v>1165.417186260061</c:v>
                </c:pt>
                <c:pt idx="214">
                  <c:v>1154.197648506494</c:v>
                </c:pt>
                <c:pt idx="215">
                  <c:v>1182.8792906221261</c:v>
                </c:pt>
                <c:pt idx="216">
                  <c:v>1234.5083096848205</c:v>
                </c:pt>
                <c:pt idx="217">
                  <c:v>1192.7724487576593</c:v>
                </c:pt>
                <c:pt idx="218">
                  <c:v>1178.2073665239918</c:v>
                </c:pt>
                <c:pt idx="219">
                  <c:v>1162.3220962677433</c:v>
                </c:pt>
                <c:pt idx="220">
                  <c:v>1172.689423076923</c:v>
                </c:pt>
                <c:pt idx="221">
                  <c:v>1193.3852487215975</c:v>
                </c:pt>
                <c:pt idx="222">
                  <c:v>1151.0041757804734</c:v>
                </c:pt>
                <c:pt idx="223">
                  <c:v>1211.4007710666422</c:v>
                </c:pt>
                <c:pt idx="224">
                  <c:v>1215.4493241076582</c:v>
                </c:pt>
                <c:pt idx="225">
                  <c:v>1226.9647666964331</c:v>
                </c:pt>
                <c:pt idx="226">
                  <c:v>1184.8500425421455</c:v>
                </c:pt>
                <c:pt idx="227">
                  <c:v>1166.7259926660172</c:v>
                </c:pt>
                <c:pt idx="228">
                  <c:v>1155.5260733119339</c:v>
                </c:pt>
                <c:pt idx="229">
                  <c:v>1159.8676311030742</c:v>
                </c:pt>
                <c:pt idx="230">
                  <c:v>1145.563144925304</c:v>
                </c:pt>
                <c:pt idx="231">
                  <c:v>1128.6069313026801</c:v>
                </c:pt>
                <c:pt idx="232">
                  <c:v>1195.3582673076351</c:v>
                </c:pt>
                <c:pt idx="233">
                  <c:v>1228.0153908525781</c:v>
                </c:pt>
                <c:pt idx="234">
                  <c:v>1181.9208710861551</c:v>
                </c:pt>
                <c:pt idx="235">
                  <c:v>1199.8718477604871</c:v>
                </c:pt>
                <c:pt idx="236">
                  <c:v>1204.1717854881795</c:v>
                </c:pt>
                <c:pt idx="237">
                  <c:v>1237.5961721135805</c:v>
                </c:pt>
                <c:pt idx="238">
                  <c:v>1250.4553468915847</c:v>
                </c:pt>
                <c:pt idx="239">
                  <c:v>1271.3491451343359</c:v>
                </c:pt>
                <c:pt idx="240">
                  <c:v>1293.3755378293449</c:v>
                </c:pt>
                <c:pt idx="241">
                  <c:v>1226.0906531971789</c:v>
                </c:pt>
                <c:pt idx="242">
                  <c:v>1212.7084151032261</c:v>
                </c:pt>
                <c:pt idx="243">
                  <c:v>1238.8741268082631</c:v>
                </c:pt>
                <c:pt idx="244">
                  <c:v>1184.7255620628075</c:v>
                </c:pt>
                <c:pt idx="245">
                  <c:v>1182.1671056045157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87-4C8D-8024-51B64EBCE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7293456"/>
        <c:axId val="1147303440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'1) Estadística'!$C$9</c15:sqref>
                        </c15:formulaRef>
                      </c:ext>
                    </c:extLst>
                    <c:strCache>
                      <c:ptCount val="1"/>
                      <c:pt idx="0">
                        <c:v>Merval $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'1) Estadística'!$A$10:$A$255</c15:sqref>
                        </c15:formulaRef>
                      </c:ext>
                    </c:extLst>
                    <c:numCache>
                      <c:formatCode>[$-C0A]mmm\-yy;@</c:formatCode>
                      <c:ptCount val="246"/>
                      <c:pt idx="0">
                        <c:v>45814</c:v>
                      </c:pt>
                      <c:pt idx="1">
                        <c:v>45813</c:v>
                      </c:pt>
                      <c:pt idx="2">
                        <c:v>45812</c:v>
                      </c:pt>
                      <c:pt idx="3">
                        <c:v>45811</c:v>
                      </c:pt>
                      <c:pt idx="4">
                        <c:v>45810</c:v>
                      </c:pt>
                      <c:pt idx="5">
                        <c:v>45807</c:v>
                      </c:pt>
                      <c:pt idx="6">
                        <c:v>45806</c:v>
                      </c:pt>
                      <c:pt idx="7">
                        <c:v>45805</c:v>
                      </c:pt>
                      <c:pt idx="8">
                        <c:v>45804</c:v>
                      </c:pt>
                      <c:pt idx="9">
                        <c:v>45803</c:v>
                      </c:pt>
                      <c:pt idx="10">
                        <c:v>45800</c:v>
                      </c:pt>
                      <c:pt idx="11">
                        <c:v>45799</c:v>
                      </c:pt>
                      <c:pt idx="12">
                        <c:v>45798</c:v>
                      </c:pt>
                      <c:pt idx="13">
                        <c:v>45797</c:v>
                      </c:pt>
                      <c:pt idx="14">
                        <c:v>45796</c:v>
                      </c:pt>
                      <c:pt idx="15">
                        <c:v>45793</c:v>
                      </c:pt>
                      <c:pt idx="16">
                        <c:v>45792</c:v>
                      </c:pt>
                      <c:pt idx="17">
                        <c:v>45791</c:v>
                      </c:pt>
                      <c:pt idx="18">
                        <c:v>45790</c:v>
                      </c:pt>
                      <c:pt idx="19">
                        <c:v>45789</c:v>
                      </c:pt>
                      <c:pt idx="20">
                        <c:v>45786</c:v>
                      </c:pt>
                      <c:pt idx="21">
                        <c:v>45785</c:v>
                      </c:pt>
                      <c:pt idx="22">
                        <c:v>45784</c:v>
                      </c:pt>
                      <c:pt idx="23">
                        <c:v>45783</c:v>
                      </c:pt>
                      <c:pt idx="24">
                        <c:v>45782</c:v>
                      </c:pt>
                      <c:pt idx="25">
                        <c:v>45777</c:v>
                      </c:pt>
                      <c:pt idx="26">
                        <c:v>45776</c:v>
                      </c:pt>
                      <c:pt idx="27">
                        <c:v>45775</c:v>
                      </c:pt>
                      <c:pt idx="28">
                        <c:v>45772</c:v>
                      </c:pt>
                      <c:pt idx="29">
                        <c:v>45771</c:v>
                      </c:pt>
                      <c:pt idx="30">
                        <c:v>45770</c:v>
                      </c:pt>
                      <c:pt idx="31">
                        <c:v>45769</c:v>
                      </c:pt>
                      <c:pt idx="32">
                        <c:v>45768</c:v>
                      </c:pt>
                      <c:pt idx="33">
                        <c:v>45763</c:v>
                      </c:pt>
                      <c:pt idx="34">
                        <c:v>45762</c:v>
                      </c:pt>
                      <c:pt idx="35">
                        <c:v>45761</c:v>
                      </c:pt>
                      <c:pt idx="36">
                        <c:v>45758</c:v>
                      </c:pt>
                      <c:pt idx="37">
                        <c:v>45757</c:v>
                      </c:pt>
                      <c:pt idx="38">
                        <c:v>45756</c:v>
                      </c:pt>
                      <c:pt idx="39">
                        <c:v>45755</c:v>
                      </c:pt>
                      <c:pt idx="40">
                        <c:v>45754</c:v>
                      </c:pt>
                      <c:pt idx="41">
                        <c:v>45751</c:v>
                      </c:pt>
                      <c:pt idx="42">
                        <c:v>45750</c:v>
                      </c:pt>
                      <c:pt idx="43">
                        <c:v>45748</c:v>
                      </c:pt>
                      <c:pt idx="44">
                        <c:v>45747</c:v>
                      </c:pt>
                      <c:pt idx="45">
                        <c:v>45744</c:v>
                      </c:pt>
                      <c:pt idx="46">
                        <c:v>45743</c:v>
                      </c:pt>
                      <c:pt idx="47">
                        <c:v>45742</c:v>
                      </c:pt>
                      <c:pt idx="48">
                        <c:v>45741</c:v>
                      </c:pt>
                      <c:pt idx="49">
                        <c:v>45737</c:v>
                      </c:pt>
                      <c:pt idx="50">
                        <c:v>45736</c:v>
                      </c:pt>
                      <c:pt idx="51">
                        <c:v>45735</c:v>
                      </c:pt>
                      <c:pt idx="52">
                        <c:v>45734</c:v>
                      </c:pt>
                      <c:pt idx="53">
                        <c:v>45733</c:v>
                      </c:pt>
                      <c:pt idx="54">
                        <c:v>45730</c:v>
                      </c:pt>
                      <c:pt idx="55">
                        <c:v>45729</c:v>
                      </c:pt>
                      <c:pt idx="56">
                        <c:v>45728</c:v>
                      </c:pt>
                      <c:pt idx="57">
                        <c:v>45727</c:v>
                      </c:pt>
                      <c:pt idx="58">
                        <c:v>45726</c:v>
                      </c:pt>
                      <c:pt idx="59">
                        <c:v>45723</c:v>
                      </c:pt>
                      <c:pt idx="60">
                        <c:v>45722</c:v>
                      </c:pt>
                      <c:pt idx="61">
                        <c:v>45721</c:v>
                      </c:pt>
                      <c:pt idx="62">
                        <c:v>45716</c:v>
                      </c:pt>
                      <c:pt idx="63">
                        <c:v>45715</c:v>
                      </c:pt>
                      <c:pt idx="64">
                        <c:v>45714</c:v>
                      </c:pt>
                      <c:pt idx="65">
                        <c:v>45713</c:v>
                      </c:pt>
                      <c:pt idx="66">
                        <c:v>45712</c:v>
                      </c:pt>
                      <c:pt idx="67">
                        <c:v>45709</c:v>
                      </c:pt>
                      <c:pt idx="68">
                        <c:v>45708</c:v>
                      </c:pt>
                      <c:pt idx="69">
                        <c:v>45707</c:v>
                      </c:pt>
                      <c:pt idx="70">
                        <c:v>45706</c:v>
                      </c:pt>
                      <c:pt idx="71">
                        <c:v>45705</c:v>
                      </c:pt>
                      <c:pt idx="72">
                        <c:v>45702</c:v>
                      </c:pt>
                      <c:pt idx="73">
                        <c:v>45701</c:v>
                      </c:pt>
                      <c:pt idx="74">
                        <c:v>45700</c:v>
                      </c:pt>
                      <c:pt idx="75">
                        <c:v>45699</c:v>
                      </c:pt>
                      <c:pt idx="76">
                        <c:v>45698</c:v>
                      </c:pt>
                      <c:pt idx="77">
                        <c:v>45695</c:v>
                      </c:pt>
                      <c:pt idx="78">
                        <c:v>45694</c:v>
                      </c:pt>
                      <c:pt idx="79">
                        <c:v>45693</c:v>
                      </c:pt>
                      <c:pt idx="80">
                        <c:v>45692</c:v>
                      </c:pt>
                      <c:pt idx="81">
                        <c:v>45691</c:v>
                      </c:pt>
                      <c:pt idx="82">
                        <c:v>45688</c:v>
                      </c:pt>
                      <c:pt idx="83">
                        <c:v>45687</c:v>
                      </c:pt>
                      <c:pt idx="84">
                        <c:v>45686</c:v>
                      </c:pt>
                      <c:pt idx="85">
                        <c:v>45685</c:v>
                      </c:pt>
                      <c:pt idx="86">
                        <c:v>45684</c:v>
                      </c:pt>
                      <c:pt idx="87">
                        <c:v>45681</c:v>
                      </c:pt>
                      <c:pt idx="88">
                        <c:v>45680</c:v>
                      </c:pt>
                      <c:pt idx="89">
                        <c:v>45679</c:v>
                      </c:pt>
                      <c:pt idx="90">
                        <c:v>45678</c:v>
                      </c:pt>
                      <c:pt idx="91">
                        <c:v>45677</c:v>
                      </c:pt>
                      <c:pt idx="92">
                        <c:v>45674</c:v>
                      </c:pt>
                      <c:pt idx="93">
                        <c:v>45673</c:v>
                      </c:pt>
                      <c:pt idx="94">
                        <c:v>45672</c:v>
                      </c:pt>
                      <c:pt idx="95">
                        <c:v>45671</c:v>
                      </c:pt>
                      <c:pt idx="96">
                        <c:v>45670</c:v>
                      </c:pt>
                      <c:pt idx="97">
                        <c:v>45667</c:v>
                      </c:pt>
                      <c:pt idx="98">
                        <c:v>45666</c:v>
                      </c:pt>
                      <c:pt idx="99">
                        <c:v>45665</c:v>
                      </c:pt>
                      <c:pt idx="100">
                        <c:v>45664</c:v>
                      </c:pt>
                      <c:pt idx="101">
                        <c:v>45663</c:v>
                      </c:pt>
                      <c:pt idx="102">
                        <c:v>45660</c:v>
                      </c:pt>
                      <c:pt idx="103">
                        <c:v>45659</c:v>
                      </c:pt>
                      <c:pt idx="104">
                        <c:v>45657</c:v>
                      </c:pt>
                      <c:pt idx="105">
                        <c:v>45656</c:v>
                      </c:pt>
                      <c:pt idx="106">
                        <c:v>45653</c:v>
                      </c:pt>
                      <c:pt idx="107">
                        <c:v>45652</c:v>
                      </c:pt>
                      <c:pt idx="108">
                        <c:v>45650</c:v>
                      </c:pt>
                      <c:pt idx="109">
                        <c:v>45649</c:v>
                      </c:pt>
                      <c:pt idx="110">
                        <c:v>45646</c:v>
                      </c:pt>
                      <c:pt idx="111">
                        <c:v>45645</c:v>
                      </c:pt>
                      <c:pt idx="112">
                        <c:v>45644</c:v>
                      </c:pt>
                      <c:pt idx="113">
                        <c:v>45643</c:v>
                      </c:pt>
                      <c:pt idx="114">
                        <c:v>45642</c:v>
                      </c:pt>
                      <c:pt idx="115">
                        <c:v>45639</c:v>
                      </c:pt>
                      <c:pt idx="116">
                        <c:v>45638</c:v>
                      </c:pt>
                      <c:pt idx="117">
                        <c:v>45637</c:v>
                      </c:pt>
                      <c:pt idx="118">
                        <c:v>45636</c:v>
                      </c:pt>
                      <c:pt idx="119">
                        <c:v>45635</c:v>
                      </c:pt>
                      <c:pt idx="120">
                        <c:v>45632</c:v>
                      </c:pt>
                      <c:pt idx="121">
                        <c:v>45631</c:v>
                      </c:pt>
                      <c:pt idx="122">
                        <c:v>45630</c:v>
                      </c:pt>
                      <c:pt idx="123">
                        <c:v>45629</c:v>
                      </c:pt>
                      <c:pt idx="124">
                        <c:v>45628</c:v>
                      </c:pt>
                      <c:pt idx="125">
                        <c:v>45625</c:v>
                      </c:pt>
                      <c:pt idx="126">
                        <c:v>45624</c:v>
                      </c:pt>
                      <c:pt idx="127">
                        <c:v>45623</c:v>
                      </c:pt>
                      <c:pt idx="128">
                        <c:v>45622</c:v>
                      </c:pt>
                      <c:pt idx="129">
                        <c:v>45621</c:v>
                      </c:pt>
                      <c:pt idx="130">
                        <c:v>45618</c:v>
                      </c:pt>
                      <c:pt idx="131">
                        <c:v>45617</c:v>
                      </c:pt>
                      <c:pt idx="132">
                        <c:v>45616</c:v>
                      </c:pt>
                      <c:pt idx="133">
                        <c:v>45615</c:v>
                      </c:pt>
                      <c:pt idx="134">
                        <c:v>45611</c:v>
                      </c:pt>
                      <c:pt idx="135">
                        <c:v>45610</c:v>
                      </c:pt>
                      <c:pt idx="136">
                        <c:v>45609</c:v>
                      </c:pt>
                      <c:pt idx="137">
                        <c:v>45608</c:v>
                      </c:pt>
                      <c:pt idx="138">
                        <c:v>45607</c:v>
                      </c:pt>
                      <c:pt idx="139">
                        <c:v>45604</c:v>
                      </c:pt>
                      <c:pt idx="140">
                        <c:v>45603</c:v>
                      </c:pt>
                      <c:pt idx="141">
                        <c:v>45602</c:v>
                      </c:pt>
                      <c:pt idx="142">
                        <c:v>45601</c:v>
                      </c:pt>
                      <c:pt idx="143">
                        <c:v>45600</c:v>
                      </c:pt>
                      <c:pt idx="144">
                        <c:v>45597</c:v>
                      </c:pt>
                      <c:pt idx="145">
                        <c:v>45596</c:v>
                      </c:pt>
                      <c:pt idx="146">
                        <c:v>45595</c:v>
                      </c:pt>
                      <c:pt idx="147">
                        <c:v>45594</c:v>
                      </c:pt>
                      <c:pt idx="148">
                        <c:v>45593</c:v>
                      </c:pt>
                      <c:pt idx="149">
                        <c:v>45590</c:v>
                      </c:pt>
                      <c:pt idx="150">
                        <c:v>45589</c:v>
                      </c:pt>
                      <c:pt idx="151">
                        <c:v>45588</c:v>
                      </c:pt>
                      <c:pt idx="152">
                        <c:v>45587</c:v>
                      </c:pt>
                      <c:pt idx="153">
                        <c:v>45586</c:v>
                      </c:pt>
                      <c:pt idx="154">
                        <c:v>45583</c:v>
                      </c:pt>
                      <c:pt idx="155">
                        <c:v>45582</c:v>
                      </c:pt>
                      <c:pt idx="156">
                        <c:v>45581</c:v>
                      </c:pt>
                      <c:pt idx="157">
                        <c:v>45580</c:v>
                      </c:pt>
                      <c:pt idx="158">
                        <c:v>45579</c:v>
                      </c:pt>
                      <c:pt idx="159">
                        <c:v>45575</c:v>
                      </c:pt>
                      <c:pt idx="160">
                        <c:v>45574</c:v>
                      </c:pt>
                      <c:pt idx="161">
                        <c:v>45573</c:v>
                      </c:pt>
                      <c:pt idx="162">
                        <c:v>45572</c:v>
                      </c:pt>
                      <c:pt idx="163">
                        <c:v>45569</c:v>
                      </c:pt>
                      <c:pt idx="164">
                        <c:v>45568</c:v>
                      </c:pt>
                      <c:pt idx="165">
                        <c:v>45567</c:v>
                      </c:pt>
                      <c:pt idx="166">
                        <c:v>45566</c:v>
                      </c:pt>
                      <c:pt idx="167">
                        <c:v>45565</c:v>
                      </c:pt>
                      <c:pt idx="168">
                        <c:v>45562</c:v>
                      </c:pt>
                      <c:pt idx="169">
                        <c:v>45561</c:v>
                      </c:pt>
                      <c:pt idx="170">
                        <c:v>45560</c:v>
                      </c:pt>
                      <c:pt idx="171">
                        <c:v>45559</c:v>
                      </c:pt>
                      <c:pt idx="172">
                        <c:v>45558</c:v>
                      </c:pt>
                      <c:pt idx="173">
                        <c:v>45555</c:v>
                      </c:pt>
                      <c:pt idx="174">
                        <c:v>45554</c:v>
                      </c:pt>
                      <c:pt idx="175">
                        <c:v>45553</c:v>
                      </c:pt>
                      <c:pt idx="176">
                        <c:v>45552</c:v>
                      </c:pt>
                      <c:pt idx="177">
                        <c:v>45551</c:v>
                      </c:pt>
                      <c:pt idx="178">
                        <c:v>45548</c:v>
                      </c:pt>
                      <c:pt idx="179">
                        <c:v>45547</c:v>
                      </c:pt>
                      <c:pt idx="180">
                        <c:v>45546</c:v>
                      </c:pt>
                      <c:pt idx="181">
                        <c:v>45545</c:v>
                      </c:pt>
                      <c:pt idx="182">
                        <c:v>45544</c:v>
                      </c:pt>
                      <c:pt idx="183">
                        <c:v>45541</c:v>
                      </c:pt>
                      <c:pt idx="184">
                        <c:v>45540</c:v>
                      </c:pt>
                      <c:pt idx="185">
                        <c:v>45539</c:v>
                      </c:pt>
                      <c:pt idx="186">
                        <c:v>45538</c:v>
                      </c:pt>
                      <c:pt idx="187">
                        <c:v>45537</c:v>
                      </c:pt>
                      <c:pt idx="188">
                        <c:v>45534</c:v>
                      </c:pt>
                      <c:pt idx="189">
                        <c:v>45533</c:v>
                      </c:pt>
                      <c:pt idx="190">
                        <c:v>45532</c:v>
                      </c:pt>
                      <c:pt idx="191">
                        <c:v>45531</c:v>
                      </c:pt>
                      <c:pt idx="192">
                        <c:v>45530</c:v>
                      </c:pt>
                      <c:pt idx="193">
                        <c:v>45527</c:v>
                      </c:pt>
                      <c:pt idx="194">
                        <c:v>45526</c:v>
                      </c:pt>
                      <c:pt idx="195">
                        <c:v>45525</c:v>
                      </c:pt>
                      <c:pt idx="196">
                        <c:v>45524</c:v>
                      </c:pt>
                      <c:pt idx="197">
                        <c:v>45523</c:v>
                      </c:pt>
                      <c:pt idx="198">
                        <c:v>45520</c:v>
                      </c:pt>
                      <c:pt idx="199">
                        <c:v>45519</c:v>
                      </c:pt>
                      <c:pt idx="200">
                        <c:v>45518</c:v>
                      </c:pt>
                      <c:pt idx="201">
                        <c:v>45517</c:v>
                      </c:pt>
                      <c:pt idx="202">
                        <c:v>45516</c:v>
                      </c:pt>
                      <c:pt idx="203">
                        <c:v>45513</c:v>
                      </c:pt>
                      <c:pt idx="204">
                        <c:v>45512</c:v>
                      </c:pt>
                      <c:pt idx="205">
                        <c:v>45511</c:v>
                      </c:pt>
                      <c:pt idx="206">
                        <c:v>45510</c:v>
                      </c:pt>
                      <c:pt idx="207">
                        <c:v>45509</c:v>
                      </c:pt>
                      <c:pt idx="208">
                        <c:v>45506</c:v>
                      </c:pt>
                      <c:pt idx="209">
                        <c:v>45505</c:v>
                      </c:pt>
                      <c:pt idx="210">
                        <c:v>45504</c:v>
                      </c:pt>
                      <c:pt idx="211">
                        <c:v>45503</c:v>
                      </c:pt>
                      <c:pt idx="212">
                        <c:v>45502</c:v>
                      </c:pt>
                      <c:pt idx="213">
                        <c:v>45499</c:v>
                      </c:pt>
                      <c:pt idx="214">
                        <c:v>45498</c:v>
                      </c:pt>
                      <c:pt idx="215">
                        <c:v>45497</c:v>
                      </c:pt>
                      <c:pt idx="216">
                        <c:v>45496</c:v>
                      </c:pt>
                      <c:pt idx="217">
                        <c:v>45495</c:v>
                      </c:pt>
                      <c:pt idx="218">
                        <c:v>45492</c:v>
                      </c:pt>
                      <c:pt idx="219">
                        <c:v>45491</c:v>
                      </c:pt>
                      <c:pt idx="220">
                        <c:v>45490</c:v>
                      </c:pt>
                      <c:pt idx="221">
                        <c:v>45489</c:v>
                      </c:pt>
                      <c:pt idx="222">
                        <c:v>45488</c:v>
                      </c:pt>
                      <c:pt idx="223">
                        <c:v>45485</c:v>
                      </c:pt>
                      <c:pt idx="224">
                        <c:v>45484</c:v>
                      </c:pt>
                      <c:pt idx="225">
                        <c:v>45483</c:v>
                      </c:pt>
                      <c:pt idx="226">
                        <c:v>45481</c:v>
                      </c:pt>
                      <c:pt idx="227">
                        <c:v>45478</c:v>
                      </c:pt>
                      <c:pt idx="228">
                        <c:v>45477</c:v>
                      </c:pt>
                      <c:pt idx="229">
                        <c:v>45476</c:v>
                      </c:pt>
                      <c:pt idx="230">
                        <c:v>45475</c:v>
                      </c:pt>
                      <c:pt idx="231">
                        <c:v>45474</c:v>
                      </c:pt>
                      <c:pt idx="232">
                        <c:v>45471</c:v>
                      </c:pt>
                      <c:pt idx="233">
                        <c:v>45470</c:v>
                      </c:pt>
                      <c:pt idx="234">
                        <c:v>45469</c:v>
                      </c:pt>
                      <c:pt idx="235">
                        <c:v>45468</c:v>
                      </c:pt>
                      <c:pt idx="236">
                        <c:v>45467</c:v>
                      </c:pt>
                      <c:pt idx="237">
                        <c:v>45462</c:v>
                      </c:pt>
                      <c:pt idx="238">
                        <c:v>45461</c:v>
                      </c:pt>
                      <c:pt idx="239">
                        <c:v>45457</c:v>
                      </c:pt>
                      <c:pt idx="240">
                        <c:v>45456</c:v>
                      </c:pt>
                      <c:pt idx="241">
                        <c:v>45455</c:v>
                      </c:pt>
                      <c:pt idx="242">
                        <c:v>45454</c:v>
                      </c:pt>
                      <c:pt idx="243">
                        <c:v>45453</c:v>
                      </c:pt>
                      <c:pt idx="244">
                        <c:v>45450</c:v>
                      </c:pt>
                      <c:pt idx="245">
                        <c:v>45449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'1) Estadística'!$C$10:$C$255</c15:sqref>
                        </c15:formulaRef>
                      </c:ext>
                    </c:extLst>
                    <c:numCache>
                      <c:formatCode>#,##0</c:formatCode>
                      <c:ptCount val="246"/>
                      <c:pt idx="0">
                        <c:v>2156778.5</c:v>
                      </c:pt>
                      <c:pt idx="1">
                        <c:v>2124156</c:v>
                      </c:pt>
                      <c:pt idx="2">
                        <c:v>2126915.25</c:v>
                      </c:pt>
                      <c:pt idx="3">
                        <c:v>2224638</c:v>
                      </c:pt>
                      <c:pt idx="4">
                        <c:v>2206291.25</c:v>
                      </c:pt>
                      <c:pt idx="5">
                        <c:v>2278991.5</c:v>
                      </c:pt>
                      <c:pt idx="6">
                        <c:v>2308055.75</c:v>
                      </c:pt>
                      <c:pt idx="7">
                        <c:v>2344329.5</c:v>
                      </c:pt>
                      <c:pt idx="8">
                        <c:v>2355098.25</c:v>
                      </c:pt>
                      <c:pt idx="9">
                        <c:v>2370800</c:v>
                      </c:pt>
                      <c:pt idx="10">
                        <c:v>2345902.25</c:v>
                      </c:pt>
                      <c:pt idx="11">
                        <c:v>2314897</c:v>
                      </c:pt>
                      <c:pt idx="12">
                        <c:v>2319548.5</c:v>
                      </c:pt>
                      <c:pt idx="13">
                        <c:v>2378464</c:v>
                      </c:pt>
                      <c:pt idx="14">
                        <c:v>2369505.25</c:v>
                      </c:pt>
                      <c:pt idx="15">
                        <c:v>2318360</c:v>
                      </c:pt>
                      <c:pt idx="16">
                        <c:v>2298473</c:v>
                      </c:pt>
                      <c:pt idx="17">
                        <c:v>2301643.25</c:v>
                      </c:pt>
                      <c:pt idx="18">
                        <c:v>2285483.25</c:v>
                      </c:pt>
                      <c:pt idx="19">
                        <c:v>2230394.75</c:v>
                      </c:pt>
                      <c:pt idx="20">
                        <c:v>2114385.5</c:v>
                      </c:pt>
                      <c:pt idx="21">
                        <c:v>2061722.25</c:v>
                      </c:pt>
                      <c:pt idx="22">
                        <c:v>2059914.88</c:v>
                      </c:pt>
                      <c:pt idx="23">
                        <c:v>2129994.5</c:v>
                      </c:pt>
                      <c:pt idx="24">
                        <c:v>2059931.63</c:v>
                      </c:pt>
                      <c:pt idx="25">
                        <c:v>2100843.75</c:v>
                      </c:pt>
                      <c:pt idx="26">
                        <c:v>2158847.75</c:v>
                      </c:pt>
                      <c:pt idx="27">
                        <c:v>2179248.75</c:v>
                      </c:pt>
                      <c:pt idx="28">
                        <c:v>2225242.75</c:v>
                      </c:pt>
                      <c:pt idx="29">
                        <c:v>2232745.25</c:v>
                      </c:pt>
                      <c:pt idx="30">
                        <c:v>2239402</c:v>
                      </c:pt>
                      <c:pt idx="31">
                        <c:v>2163891</c:v>
                      </c:pt>
                      <c:pt idx="32">
                        <c:v>2045707.38</c:v>
                      </c:pt>
                      <c:pt idx="33">
                        <c:v>2177975</c:v>
                      </c:pt>
                      <c:pt idx="34">
                        <c:v>2284279.5</c:v>
                      </c:pt>
                      <c:pt idx="35">
                        <c:v>2364950</c:v>
                      </c:pt>
                      <c:pt idx="36">
                        <c:v>2248803</c:v>
                      </c:pt>
                      <c:pt idx="37">
                        <c:v>2111490.25</c:v>
                      </c:pt>
                      <c:pt idx="38">
                        <c:v>2183577</c:v>
                      </c:pt>
                      <c:pt idx="39">
                        <c:v>1990621.25</c:v>
                      </c:pt>
                      <c:pt idx="40">
                        <c:v>2025967.25</c:v>
                      </c:pt>
                      <c:pt idx="41">
                        <c:v>2107816</c:v>
                      </c:pt>
                      <c:pt idx="42">
                        <c:v>2275658.75</c:v>
                      </c:pt>
                      <c:pt idx="43">
                        <c:v>2356530.75</c:v>
                      </c:pt>
                      <c:pt idx="44">
                        <c:v>2338760.75</c:v>
                      </c:pt>
                      <c:pt idx="45">
                        <c:v>2378562.75</c:v>
                      </c:pt>
                      <c:pt idx="46">
                        <c:v>2412081.5</c:v>
                      </c:pt>
                      <c:pt idx="47">
                        <c:v>2439966.25</c:v>
                      </c:pt>
                      <c:pt idx="48">
                        <c:v>2487679.75</c:v>
                      </c:pt>
                      <c:pt idx="49">
                        <c:v>2433538.25</c:v>
                      </c:pt>
                      <c:pt idx="50">
                        <c:v>2361583</c:v>
                      </c:pt>
                      <c:pt idx="51">
                        <c:v>2392030</c:v>
                      </c:pt>
                      <c:pt idx="52">
                        <c:v>2288538</c:v>
                      </c:pt>
                      <c:pt idx="53">
                        <c:v>2346305.5</c:v>
                      </c:pt>
                      <c:pt idx="54">
                        <c:v>2335574.75</c:v>
                      </c:pt>
                      <c:pt idx="55">
                        <c:v>2232180</c:v>
                      </c:pt>
                      <c:pt idx="56">
                        <c:v>2272936.75</c:v>
                      </c:pt>
                      <c:pt idx="57">
                        <c:v>2159499.75</c:v>
                      </c:pt>
                      <c:pt idx="58">
                        <c:v>2138846.25</c:v>
                      </c:pt>
                      <c:pt idx="59">
                        <c:v>2262289.25</c:v>
                      </c:pt>
                      <c:pt idx="60">
                        <c:v>2270181.25</c:v>
                      </c:pt>
                      <c:pt idx="61">
                        <c:v>2290050</c:v>
                      </c:pt>
                      <c:pt idx="62">
                        <c:v>2205800.5</c:v>
                      </c:pt>
                      <c:pt idx="63">
                        <c:v>2193656.75</c:v>
                      </c:pt>
                      <c:pt idx="64">
                        <c:v>2275036.75</c:v>
                      </c:pt>
                      <c:pt idx="65">
                        <c:v>2282898.75</c:v>
                      </c:pt>
                      <c:pt idx="66">
                        <c:v>2348398.5</c:v>
                      </c:pt>
                      <c:pt idx="67">
                        <c:v>2364529.5</c:v>
                      </c:pt>
                      <c:pt idx="68">
                        <c:v>2410221</c:v>
                      </c:pt>
                      <c:pt idx="69">
                        <c:v>2401579.75</c:v>
                      </c:pt>
                      <c:pt idx="70">
                        <c:v>2391724.75</c:v>
                      </c:pt>
                      <c:pt idx="71">
                        <c:v>2254188.75</c:v>
                      </c:pt>
                      <c:pt idx="72">
                        <c:v>2387385.75</c:v>
                      </c:pt>
                      <c:pt idx="73">
                        <c:v>2353743.75</c:v>
                      </c:pt>
                      <c:pt idx="74">
                        <c:v>2285846.5</c:v>
                      </c:pt>
                      <c:pt idx="75">
                        <c:v>2273568</c:v>
                      </c:pt>
                      <c:pt idx="76">
                        <c:v>2391367.5</c:v>
                      </c:pt>
                      <c:pt idx="77">
                        <c:v>2416381.75</c:v>
                      </c:pt>
                      <c:pt idx="78">
                        <c:v>2503483.5</c:v>
                      </c:pt>
                      <c:pt idx="79">
                        <c:v>2477714</c:v>
                      </c:pt>
                      <c:pt idx="80">
                        <c:v>2523647</c:v>
                      </c:pt>
                      <c:pt idx="81">
                        <c:v>2484135.75</c:v>
                      </c:pt>
                      <c:pt idx="82">
                        <c:v>2564659</c:v>
                      </c:pt>
                      <c:pt idx="83">
                        <c:v>2599328.5</c:v>
                      </c:pt>
                      <c:pt idx="84">
                        <c:v>2545355.5</c:v>
                      </c:pt>
                      <c:pt idx="85">
                        <c:v>2435628.75</c:v>
                      </c:pt>
                      <c:pt idx="86">
                        <c:v>2439098.75</c:v>
                      </c:pt>
                      <c:pt idx="87">
                        <c:v>2566082.25</c:v>
                      </c:pt>
                      <c:pt idx="88">
                        <c:v>2625050</c:v>
                      </c:pt>
                      <c:pt idx="89">
                        <c:v>2680945.75</c:v>
                      </c:pt>
                      <c:pt idx="90">
                        <c:v>2619719.25</c:v>
                      </c:pt>
                      <c:pt idx="91">
                        <c:v>2536837.5</c:v>
                      </c:pt>
                      <c:pt idx="92">
                        <c:v>2510886</c:v>
                      </c:pt>
                      <c:pt idx="93">
                        <c:v>2629377</c:v>
                      </c:pt>
                      <c:pt idx="94">
                        <c:v>2704473.75</c:v>
                      </c:pt>
                      <c:pt idx="95">
                        <c:v>2733273.25</c:v>
                      </c:pt>
                      <c:pt idx="96">
                        <c:v>2655178.5</c:v>
                      </c:pt>
                      <c:pt idx="97">
                        <c:v>2805139.75</c:v>
                      </c:pt>
                      <c:pt idx="98">
                        <c:v>2829730.5</c:v>
                      </c:pt>
                      <c:pt idx="99">
                        <c:v>2782477</c:v>
                      </c:pt>
                      <c:pt idx="100">
                        <c:v>2822174.5</c:v>
                      </c:pt>
                      <c:pt idx="101">
                        <c:v>2801220.75</c:v>
                      </c:pt>
                      <c:pt idx="102">
                        <c:v>2728911</c:v>
                      </c:pt>
                      <c:pt idx="103">
                        <c:v>2695646.5</c:v>
                      </c:pt>
                      <c:pt idx="104">
                        <c:v>2695647</c:v>
                      </c:pt>
                      <c:pt idx="105">
                        <c:v>2533634.75</c:v>
                      </c:pt>
                      <c:pt idx="106">
                        <c:v>2577545.75</c:v>
                      </c:pt>
                      <c:pt idx="107">
                        <c:v>2597388.5</c:v>
                      </c:pt>
                      <c:pt idx="108">
                        <c:v>2551020.5</c:v>
                      </c:pt>
                      <c:pt idx="109">
                        <c:v>2501153</c:v>
                      </c:pt>
                      <c:pt idx="110">
                        <c:v>2467562</c:v>
                      </c:pt>
                      <c:pt idx="111">
                        <c:v>2419894.25</c:v>
                      </c:pt>
                      <c:pt idx="112">
                        <c:v>2521016.5</c:v>
                      </c:pt>
                      <c:pt idx="113">
                        <c:v>2592200.5</c:v>
                      </c:pt>
                      <c:pt idx="114">
                        <c:v>2543202</c:v>
                      </c:pt>
                      <c:pt idx="115">
                        <c:v>2370661.75</c:v>
                      </c:pt>
                      <c:pt idx="116">
                        <c:v>2304089.5</c:v>
                      </c:pt>
                      <c:pt idx="117">
                        <c:v>2291149.25</c:v>
                      </c:pt>
                      <c:pt idx="118">
                        <c:v>2201245.75</c:v>
                      </c:pt>
                      <c:pt idx="119">
                        <c:v>2228858.75</c:v>
                      </c:pt>
                      <c:pt idx="120">
                        <c:v>2202444.25</c:v>
                      </c:pt>
                      <c:pt idx="121">
                        <c:v>2211583</c:v>
                      </c:pt>
                      <c:pt idx="122">
                        <c:v>2216277.75</c:v>
                      </c:pt>
                      <c:pt idx="123">
                        <c:v>2303990</c:v>
                      </c:pt>
                      <c:pt idx="124">
                        <c:v>2295431.5</c:v>
                      </c:pt>
                      <c:pt idx="125">
                        <c:v>2258295</c:v>
                      </c:pt>
                      <c:pt idx="126">
                        <c:v>2230803.25</c:v>
                      </c:pt>
                      <c:pt idx="127">
                        <c:v>2205245</c:v>
                      </c:pt>
                      <c:pt idx="128">
                        <c:v>2252266.25</c:v>
                      </c:pt>
                      <c:pt idx="129">
                        <c:v>2218551</c:v>
                      </c:pt>
                      <c:pt idx="130">
                        <c:v>2211988</c:v>
                      </c:pt>
                      <c:pt idx="131">
                        <c:v>2140096.25</c:v>
                      </c:pt>
                      <c:pt idx="132">
                        <c:v>2145971.75</c:v>
                      </c:pt>
                      <c:pt idx="133">
                        <c:v>2124412.5</c:v>
                      </c:pt>
                      <c:pt idx="134">
                        <c:v>2066915.25</c:v>
                      </c:pt>
                      <c:pt idx="135">
                        <c:v>2087646.63</c:v>
                      </c:pt>
                      <c:pt idx="136">
                        <c:v>2042551</c:v>
                      </c:pt>
                      <c:pt idx="137">
                        <c:v>2012040.88</c:v>
                      </c:pt>
                      <c:pt idx="138">
                        <c:v>1987845.88</c:v>
                      </c:pt>
                      <c:pt idx="139">
                        <c:v>1964487.25</c:v>
                      </c:pt>
                      <c:pt idx="140">
                        <c:v>2015557.75</c:v>
                      </c:pt>
                      <c:pt idx="141">
                        <c:v>1976613</c:v>
                      </c:pt>
                      <c:pt idx="142">
                        <c:v>1931281.13</c:v>
                      </c:pt>
                      <c:pt idx="143">
                        <c:v>1919066</c:v>
                      </c:pt>
                      <c:pt idx="144">
                        <c:v>1879878.63</c:v>
                      </c:pt>
                      <c:pt idx="145">
                        <c:v>1848744.25</c:v>
                      </c:pt>
                      <c:pt idx="146">
                        <c:v>1837535.25</c:v>
                      </c:pt>
                      <c:pt idx="147">
                        <c:v>1845639.25</c:v>
                      </c:pt>
                      <c:pt idx="148">
                        <c:v>1851913.75</c:v>
                      </c:pt>
                      <c:pt idx="149">
                        <c:v>1872784.63</c:v>
                      </c:pt>
                      <c:pt idx="150">
                        <c:v>1849994.75</c:v>
                      </c:pt>
                      <c:pt idx="151">
                        <c:v>1774318.63</c:v>
                      </c:pt>
                      <c:pt idx="152">
                        <c:v>1807539.25</c:v>
                      </c:pt>
                      <c:pt idx="153">
                        <c:v>1820705.38</c:v>
                      </c:pt>
                      <c:pt idx="154">
                        <c:v>1823329.75</c:v>
                      </c:pt>
                      <c:pt idx="155">
                        <c:v>1801603.88</c:v>
                      </c:pt>
                      <c:pt idx="156">
                        <c:v>1776060.5</c:v>
                      </c:pt>
                      <c:pt idx="157">
                        <c:v>1816250.5</c:v>
                      </c:pt>
                      <c:pt idx="158">
                        <c:v>1804414.63</c:v>
                      </c:pt>
                      <c:pt idx="159">
                        <c:v>1782989.13</c:v>
                      </c:pt>
                      <c:pt idx="160">
                        <c:v>1771932.75</c:v>
                      </c:pt>
                      <c:pt idx="161">
                        <c:v>1731369.63</c:v>
                      </c:pt>
                      <c:pt idx="162">
                        <c:v>1714593.63</c:v>
                      </c:pt>
                      <c:pt idx="163">
                        <c:v>1756514.5</c:v>
                      </c:pt>
                      <c:pt idx="164">
                        <c:v>1754992.38</c:v>
                      </c:pt>
                      <c:pt idx="165">
                        <c:v>1715159</c:v>
                      </c:pt>
                      <c:pt idx="166">
                        <c:v>1728761.13</c:v>
                      </c:pt>
                      <c:pt idx="167">
                        <c:v>1697400.63</c:v>
                      </c:pt>
                      <c:pt idx="168">
                        <c:v>1727776.5</c:v>
                      </c:pt>
                      <c:pt idx="169">
                        <c:v>1715670.63</c:v>
                      </c:pt>
                      <c:pt idx="170">
                        <c:v>1744131.25</c:v>
                      </c:pt>
                      <c:pt idx="171">
                        <c:v>1774667.88</c:v>
                      </c:pt>
                      <c:pt idx="172">
                        <c:v>1790228.13</c:v>
                      </c:pt>
                      <c:pt idx="173">
                        <c:v>1822928.25</c:v>
                      </c:pt>
                      <c:pt idx="174">
                        <c:v>1847053.13</c:v>
                      </c:pt>
                      <c:pt idx="175">
                        <c:v>1815098.88</c:v>
                      </c:pt>
                      <c:pt idx="176">
                        <c:v>1813298</c:v>
                      </c:pt>
                      <c:pt idx="177">
                        <c:v>1812872.38</c:v>
                      </c:pt>
                      <c:pt idx="178">
                        <c:v>1817734</c:v>
                      </c:pt>
                      <c:pt idx="179">
                        <c:v>1790058.13</c:v>
                      </c:pt>
                      <c:pt idx="180">
                        <c:v>1764128.5</c:v>
                      </c:pt>
                      <c:pt idx="181">
                        <c:v>1715184.88</c:v>
                      </c:pt>
                      <c:pt idx="182">
                        <c:v>1738555.75</c:v>
                      </c:pt>
                      <c:pt idx="183">
                        <c:v>1721668</c:v>
                      </c:pt>
                      <c:pt idx="184">
                        <c:v>1765465</c:v>
                      </c:pt>
                      <c:pt idx="185">
                        <c:v>1796920.13</c:v>
                      </c:pt>
                      <c:pt idx="186">
                        <c:v>1735253</c:v>
                      </c:pt>
                      <c:pt idx="187">
                        <c:v>1754832.88</c:v>
                      </c:pt>
                      <c:pt idx="188">
                        <c:v>1717564.5</c:v>
                      </c:pt>
                      <c:pt idx="189">
                        <c:v>1660144</c:v>
                      </c:pt>
                      <c:pt idx="190">
                        <c:v>1617544.38</c:v>
                      </c:pt>
                      <c:pt idx="191">
                        <c:v>1616134.13</c:v>
                      </c:pt>
                      <c:pt idx="192">
                        <c:v>1593002.5</c:v>
                      </c:pt>
                      <c:pt idx="193">
                        <c:v>1606967.38</c:v>
                      </c:pt>
                      <c:pt idx="194">
                        <c:v>1577419.88</c:v>
                      </c:pt>
                      <c:pt idx="195">
                        <c:v>1621075.63</c:v>
                      </c:pt>
                      <c:pt idx="196">
                        <c:v>1659274.75</c:v>
                      </c:pt>
                      <c:pt idx="197">
                        <c:v>1657074.63</c:v>
                      </c:pt>
                      <c:pt idx="198">
                        <c:v>1649329.38</c:v>
                      </c:pt>
                      <c:pt idx="199">
                        <c:v>1643875</c:v>
                      </c:pt>
                      <c:pt idx="200">
                        <c:v>1607310.13</c:v>
                      </c:pt>
                      <c:pt idx="201">
                        <c:v>1591696.88</c:v>
                      </c:pt>
                      <c:pt idx="202">
                        <c:v>1588905.13</c:v>
                      </c:pt>
                      <c:pt idx="203">
                        <c:v>1583894.88</c:v>
                      </c:pt>
                      <c:pt idx="204">
                        <c:v>1530365.75</c:v>
                      </c:pt>
                      <c:pt idx="205">
                        <c:v>1452160.75</c:v>
                      </c:pt>
                      <c:pt idx="206">
                        <c:v>1457571</c:v>
                      </c:pt>
                      <c:pt idx="207">
                        <c:v>1420523</c:v>
                      </c:pt>
                      <c:pt idx="208">
                        <c:v>1433349.88</c:v>
                      </c:pt>
                      <c:pt idx="209">
                        <c:v>1500216.5</c:v>
                      </c:pt>
                      <c:pt idx="210">
                        <c:v>1481853.5</c:v>
                      </c:pt>
                      <c:pt idx="211">
                        <c:v>1411953.38</c:v>
                      </c:pt>
                      <c:pt idx="212">
                        <c:v>1481241.5</c:v>
                      </c:pt>
                      <c:pt idx="213">
                        <c:v>1542021.75</c:v>
                      </c:pt>
                      <c:pt idx="214">
                        <c:v>1538280</c:v>
                      </c:pt>
                      <c:pt idx="215">
                        <c:v>1582112.88</c:v>
                      </c:pt>
                      <c:pt idx="216">
                        <c:v>1635674.13</c:v>
                      </c:pt>
                      <c:pt idx="217">
                        <c:v>1590407</c:v>
                      </c:pt>
                      <c:pt idx="218">
                        <c:v>1569018.75</c:v>
                      </c:pt>
                      <c:pt idx="219">
                        <c:v>1528790.63</c:v>
                      </c:pt>
                      <c:pt idx="220">
                        <c:v>1524496.25</c:v>
                      </c:pt>
                      <c:pt idx="221">
                        <c:v>1526268.13</c:v>
                      </c:pt>
                      <c:pt idx="222">
                        <c:v>1504984</c:v>
                      </c:pt>
                      <c:pt idx="223">
                        <c:v>1715610</c:v>
                      </c:pt>
                      <c:pt idx="224">
                        <c:v>1705676.5</c:v>
                      </c:pt>
                      <c:pt idx="225">
                        <c:v>1690009</c:v>
                      </c:pt>
                      <c:pt idx="226">
                        <c:v>1643221.13</c:v>
                      </c:pt>
                      <c:pt idx="227">
                        <c:v>1629029.5</c:v>
                      </c:pt>
                      <c:pt idx="228">
                        <c:v>1612744.63</c:v>
                      </c:pt>
                      <c:pt idx="229">
                        <c:v>1603517</c:v>
                      </c:pt>
                      <c:pt idx="230">
                        <c:v>1636391.13</c:v>
                      </c:pt>
                      <c:pt idx="231">
                        <c:v>1594732.88</c:v>
                      </c:pt>
                      <c:pt idx="232">
                        <c:v>1611295.13</c:v>
                      </c:pt>
                      <c:pt idx="233">
                        <c:v>1635667.38</c:v>
                      </c:pt>
                      <c:pt idx="234">
                        <c:v>1574472.25</c:v>
                      </c:pt>
                      <c:pt idx="235">
                        <c:v>1570620.25</c:v>
                      </c:pt>
                      <c:pt idx="236">
                        <c:v>1559667.38</c:v>
                      </c:pt>
                      <c:pt idx="237">
                        <c:v>1576462.38</c:v>
                      </c:pt>
                      <c:pt idx="238">
                        <c:v>1557429.63</c:v>
                      </c:pt>
                      <c:pt idx="239">
                        <c:v>1582372</c:v>
                      </c:pt>
                      <c:pt idx="240">
                        <c:v>1605208.38</c:v>
                      </c:pt>
                      <c:pt idx="241">
                        <c:v>1568096.38</c:v>
                      </c:pt>
                      <c:pt idx="242">
                        <c:v>1544869.25</c:v>
                      </c:pt>
                      <c:pt idx="243">
                        <c:v>1576628.38</c:v>
                      </c:pt>
                      <c:pt idx="244">
                        <c:v>1519209.13</c:v>
                      </c:pt>
                      <c:pt idx="245">
                        <c:v>1503728.38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1087-4C8D-8024-51B64EBCEC8D}"/>
                  </c:ext>
                </c:extLst>
              </c15:ser>
            </c15:filteredLineSeries>
          </c:ext>
        </c:extLst>
      </c:lineChart>
      <c:dateAx>
        <c:axId val="770860288"/>
        <c:scaling>
          <c:orientation val="minMax"/>
        </c:scaling>
        <c:delete val="0"/>
        <c:axPos val="b"/>
        <c:numFmt formatCode="[$-C0A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70858624"/>
        <c:crosses val="autoZero"/>
        <c:auto val="1"/>
        <c:lblOffset val="100"/>
        <c:baseTimeUnit val="days"/>
      </c:dateAx>
      <c:valAx>
        <c:axId val="770858624"/>
        <c:scaling>
          <c:orientation val="minMax"/>
        </c:scaling>
        <c:delete val="0"/>
        <c:axPos val="l"/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70860288"/>
        <c:crosses val="autoZero"/>
        <c:crossBetween val="between"/>
      </c:valAx>
      <c:valAx>
        <c:axId val="1147303440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47293456"/>
        <c:crosses val="max"/>
        <c:crossBetween val="between"/>
      </c:valAx>
      <c:dateAx>
        <c:axId val="1147293456"/>
        <c:scaling>
          <c:orientation val="minMax"/>
        </c:scaling>
        <c:delete val="1"/>
        <c:axPos val="b"/>
        <c:numFmt formatCode="[$-C0A]mmm\-yy;@" sourceLinked="1"/>
        <c:majorTickMark val="out"/>
        <c:minorTickMark val="none"/>
        <c:tickLblPos val="nextTo"/>
        <c:crossAx val="114730344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2074648757140664E-2"/>
          <c:y val="0.89872642739523578"/>
          <c:w val="0.91229214914312184"/>
          <c:h val="0.101273572604764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"Correlación AGRO-S&amp;P"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'1) Estadística'!$E$10:$E$255</c:f>
              <c:numCache>
                <c:formatCode>0.0%</c:formatCode>
                <c:ptCount val="246"/>
                <c:pt idx="0">
                  <c:v>1.5241126204028755E-2</c:v>
                </c:pt>
                <c:pt idx="1">
                  <c:v>-1.2981435620423244E-3</c:v>
                </c:pt>
                <c:pt idx="2">
                  <c:v>-4.4921515180088863E-2</c:v>
                </c:pt>
                <c:pt idx="3">
                  <c:v>8.2812673439197747E-3</c:v>
                </c:pt>
                <c:pt idx="4">
                  <c:v>-3.2420082142042415E-2</c:v>
                </c:pt>
                <c:pt idx="5">
                  <c:v>-1.2672482916194272E-2</c:v>
                </c:pt>
                <c:pt idx="6">
                  <c:v>-1.559393004107467E-2</c:v>
                </c:pt>
                <c:pt idx="7">
                  <c:v>-4.5830128355102079E-3</c:v>
                </c:pt>
                <c:pt idx="8">
                  <c:v>-6.6450045881864392E-3</c:v>
                </c:pt>
                <c:pt idx="9">
                  <c:v>1.055736823500871E-2</c:v>
                </c:pt>
                <c:pt idx="10">
                  <c:v>1.3304888588762652E-2</c:v>
                </c:pt>
                <c:pt idx="11">
                  <c:v>-2.0073605620924161E-3</c:v>
                </c:pt>
                <c:pt idx="12">
                  <c:v>-2.5082346516130442E-2</c:v>
                </c:pt>
                <c:pt idx="13">
                  <c:v>3.7737231056345958E-3</c:v>
                </c:pt>
                <c:pt idx="14">
                  <c:v>2.1821138923044475E-2</c:v>
                </c:pt>
                <c:pt idx="15">
                  <c:v>8.6150497535525776E-3</c:v>
                </c:pt>
                <c:pt idx="16">
                  <c:v>-1.3783349505158073E-3</c:v>
                </c:pt>
                <c:pt idx="17">
                  <c:v>7.0458344035515472E-3</c:v>
                </c:pt>
                <c:pt idx="18">
                  <c:v>2.4398902207309135E-2</c:v>
                </c:pt>
                <c:pt idx="19">
                  <c:v>5.3414361196412428E-2</c:v>
                </c:pt>
                <c:pt idx="20">
                  <c:v>2.5222549346056108E-2</c:v>
                </c:pt>
                <c:pt idx="21">
                  <c:v>8.7701564152309396E-4</c:v>
                </c:pt>
                <c:pt idx="22">
                  <c:v>-3.345473599894612E-2</c:v>
                </c:pt>
                <c:pt idx="23">
                  <c:v>3.3446604628051935E-2</c:v>
                </c:pt>
                <c:pt idx="24">
                  <c:v>-1.9666256819073094E-2</c:v>
                </c:pt>
                <c:pt idx="25">
                  <c:v>-2.7235580538024374E-2</c:v>
                </c:pt>
                <c:pt idx="26">
                  <c:v>-9.4055770301306255E-3</c:v>
                </c:pt>
                <c:pt idx="27">
                  <c:v>-2.0885803473152442E-2</c:v>
                </c:pt>
                <c:pt idx="28">
                  <c:v>-3.3658713675498012E-3</c:v>
                </c:pt>
                <c:pt idx="29">
                  <c:v>-2.9769837816718014E-3</c:v>
                </c:pt>
                <c:pt idx="30">
                  <c:v>3.4300875910053145E-2</c:v>
                </c:pt>
                <c:pt idx="31">
                  <c:v>5.6164353256708224E-2</c:v>
                </c:pt>
                <c:pt idx="32">
                  <c:v>-6.2651909251157323E-2</c:v>
                </c:pt>
                <c:pt idx="33">
                  <c:v>-4.7655111312245847E-2</c:v>
                </c:pt>
                <c:pt idx="34">
                  <c:v>-3.470622273479216E-2</c:v>
                </c:pt>
                <c:pt idx="35">
                  <c:v>5.0358805417240672E-2</c:v>
                </c:pt>
                <c:pt idx="36">
                  <c:v>6.300409684336658E-2</c:v>
                </c:pt>
                <c:pt idx="37">
                  <c:v>-3.3570379994575891E-2</c:v>
                </c:pt>
                <c:pt idx="38">
                  <c:v>9.2517581859167156E-2</c:v>
                </c:pt>
                <c:pt idx="39">
                  <c:v>-1.760046489281665E-2</c:v>
                </c:pt>
                <c:pt idx="40">
                  <c:v>-3.9605099502932964E-2</c:v>
                </c:pt>
                <c:pt idx="41">
                  <c:v>-7.6617230586030066E-2</c:v>
                </c:pt>
                <c:pt idx="42">
                  <c:v>-3.4920945381937074E-2</c:v>
                </c:pt>
                <c:pt idx="43">
                  <c:v>7.5693212418049341E-3</c:v>
                </c:pt>
                <c:pt idx="44">
                  <c:v>-1.6875223647761312E-2</c:v>
                </c:pt>
                <c:pt idx="45">
                  <c:v>-1.3993648964657357E-2</c:v>
                </c:pt>
                <c:pt idx="46">
                  <c:v>-1.149413956174301E-2</c:v>
                </c:pt>
                <c:pt idx="47">
                  <c:v>-1.9366241504186112E-2</c:v>
                </c:pt>
                <c:pt idx="48">
                  <c:v>2.2004180477077192E-2</c:v>
                </c:pt>
                <c:pt idx="49">
                  <c:v>3.0014111380721995E-2</c:v>
                </c:pt>
                <c:pt idx="50">
                  <c:v>-1.2810220927135792E-2</c:v>
                </c:pt>
                <c:pt idx="51">
                  <c:v>4.4229192079110226E-2</c:v>
                </c:pt>
                <c:pt idx="52">
                  <c:v>-2.4928777670411812E-2</c:v>
                </c:pt>
                <c:pt idx="53">
                  <c:v>4.5839569647806756E-3</c:v>
                </c:pt>
                <c:pt idx="54">
                  <c:v>4.5279320013569775E-2</c:v>
                </c:pt>
                <c:pt idx="55">
                  <c:v>-1.8094031393728071E-2</c:v>
                </c:pt>
                <c:pt idx="56">
                  <c:v>5.11961201713634E-2</c:v>
                </c:pt>
                <c:pt idx="57">
                  <c:v>9.61004951714051E-3</c:v>
                </c:pt>
                <c:pt idx="58">
                  <c:v>-5.6110694948087174E-2</c:v>
                </c:pt>
                <c:pt idx="59">
                  <c:v>-3.4824310387619618E-3</c:v>
                </c:pt>
                <c:pt idx="60">
                  <c:v>-8.7139772681421694E-3</c:v>
                </c:pt>
                <c:pt idx="61">
                  <c:v>3.7483169823911019E-2</c:v>
                </c:pt>
                <c:pt idx="62">
                  <c:v>5.5205813589345428E-3</c:v>
                </c:pt>
                <c:pt idx="63">
                  <c:v>-3.6426305912517234E-2</c:v>
                </c:pt>
                <c:pt idx="64">
                  <c:v>-3.4498109055140598E-3</c:v>
                </c:pt>
                <c:pt idx="65">
                  <c:v>-2.8287589450825861E-2</c:v>
                </c:pt>
                <c:pt idx="66">
                  <c:v>-6.8454527596459478E-3</c:v>
                </c:pt>
                <c:pt idx="67">
                  <c:v>-1.9139385308493288E-2</c:v>
                </c:pt>
                <c:pt idx="68">
                  <c:v>3.5916945603103618E-3</c:v>
                </c:pt>
                <c:pt idx="69">
                  <c:v>4.1119915857968951E-3</c:v>
                </c:pt>
                <c:pt idx="70">
                  <c:v>5.922460626763637E-2</c:v>
                </c:pt>
                <c:pt idx="71">
                  <c:v>-5.7408786695265092E-2</c:v>
                </c:pt>
                <c:pt idx="72">
                  <c:v>1.4191793176124411E-2</c:v>
                </c:pt>
                <c:pt idx="73">
                  <c:v>2.9270730386889196E-2</c:v>
                </c:pt>
                <c:pt idx="74">
                  <c:v>5.38601159528711E-3</c:v>
                </c:pt>
                <c:pt idx="75">
                  <c:v>-5.0514974379220708E-2</c:v>
                </c:pt>
                <c:pt idx="76">
                  <c:v>-1.040589865088839E-2</c:v>
                </c:pt>
                <c:pt idx="77">
                  <c:v>-3.5411885296820468E-2</c:v>
                </c:pt>
                <c:pt idx="78">
                  <c:v>1.0346801104962703E-2</c:v>
                </c:pt>
                <c:pt idx="79">
                  <c:v>-1.8368716640495109E-2</c:v>
                </c:pt>
                <c:pt idx="80">
                  <c:v>1.5780265192314968E-2</c:v>
                </c:pt>
                <c:pt idx="81">
                  <c:v>-3.1900713978738129E-2</c:v>
                </c:pt>
                <c:pt idx="82">
                  <c:v>-1.3427616124244911E-2</c:v>
                </c:pt>
                <c:pt idx="83">
                  <c:v>2.0982816533919563E-2</c:v>
                </c:pt>
                <c:pt idx="84">
                  <c:v>4.4065389149973273E-2</c:v>
                </c:pt>
                <c:pt idx="85">
                  <c:v>-1.4236695635163861E-3</c:v>
                </c:pt>
                <c:pt idx="86">
                  <c:v>-5.0751713140886688E-2</c:v>
                </c:pt>
                <c:pt idx="87">
                  <c:v>-2.2719624021295223E-2</c:v>
                </c:pt>
                <c:pt idx="88">
                  <c:v>-2.1069680580915885E-2</c:v>
                </c:pt>
                <c:pt idx="89">
                  <c:v>2.3102468519357849E-2</c:v>
                </c:pt>
                <c:pt idx="90">
                  <c:v>3.2148929007019836E-2</c:v>
                </c:pt>
                <c:pt idx="91">
                  <c:v>1.0282547629892043E-2</c:v>
                </c:pt>
                <c:pt idx="92">
                  <c:v>-4.6111257093515268E-2</c:v>
                </c:pt>
                <c:pt idx="93">
                  <c:v>-2.8160410237368389E-2</c:v>
                </c:pt>
                <c:pt idx="94">
                  <c:v>-1.0592537416418546E-2</c:v>
                </c:pt>
                <c:pt idx="95">
                  <c:v>2.8987999580804412E-2</c:v>
                </c:pt>
                <c:pt idx="96">
                  <c:v>-5.4941475408103256E-2</c:v>
                </c:pt>
                <c:pt idx="97">
                  <c:v>-8.7281179580551965E-3</c:v>
                </c:pt>
                <c:pt idx="98">
                  <c:v>1.6839939253022355E-2</c:v>
                </c:pt>
                <c:pt idx="99">
                  <c:v>-1.4166148910975158E-2</c:v>
                </c:pt>
                <c:pt idx="100">
                  <c:v>7.4523827850705403E-3</c:v>
                </c:pt>
                <c:pt idx="101">
                  <c:v>2.6152675795656236E-2</c:v>
                </c:pt>
                <c:pt idx="102">
                  <c:v>1.2264564240742508E-2</c:v>
                </c:pt>
                <c:pt idx="103">
                  <c:v>-1.8548424417992929E-7</c:v>
                </c:pt>
                <c:pt idx="104">
                  <c:v>6.1983317949517606E-2</c:v>
                </c:pt>
                <c:pt idx="105">
                  <c:v>-1.718275469922631E-2</c:v>
                </c:pt>
                <c:pt idx="106">
                  <c:v>-7.6688306706540988E-3</c:v>
                </c:pt>
                <c:pt idx="107">
                  <c:v>1.8013041987950035E-2</c:v>
                </c:pt>
                <c:pt idx="108">
                  <c:v>1.9741649637550259E-2</c:v>
                </c:pt>
                <c:pt idx="109">
                  <c:v>1.3521206897889699E-2</c:v>
                </c:pt>
                <c:pt idx="110">
                  <c:v>1.9506777789546979E-2</c:v>
                </c:pt>
                <c:pt idx="111">
                  <c:v>-4.0938352339493993E-2</c:v>
                </c:pt>
                <c:pt idx="112">
                  <c:v>-2.7844935687289411E-2</c:v>
                </c:pt>
                <c:pt idx="113">
                  <c:v>1.9083211868502627E-2</c:v>
                </c:pt>
                <c:pt idx="114">
                  <c:v>7.0254781443129563E-2</c:v>
                </c:pt>
                <c:pt idx="115">
                  <c:v>2.8483548016548416E-2</c:v>
                </c:pt>
                <c:pt idx="116">
                  <c:v>5.632039991498001E-3</c:v>
                </c:pt>
                <c:pt idx="117">
                  <c:v>4.0030097468557582E-2</c:v>
                </c:pt>
                <c:pt idx="118">
                  <c:v>-1.2466233066716608E-2</c:v>
                </c:pt>
                <c:pt idx="119">
                  <c:v>1.1921916809400116E-2</c:v>
                </c:pt>
                <c:pt idx="120">
                  <c:v>-4.1407823469175806E-3</c:v>
                </c:pt>
                <c:pt idx="121">
                  <c:v>-2.1205507690158845E-3</c:v>
                </c:pt>
                <c:pt idx="122">
                  <c:v>-3.8813303067964156E-2</c:v>
                </c:pt>
                <c:pt idx="123">
                  <c:v>3.7215592778073246E-3</c:v>
                </c:pt>
                <c:pt idx="124">
                  <c:v>1.6310739484790397E-2</c:v>
                </c:pt>
                <c:pt idx="125">
                  <c:v>1.2248381375193044E-2</c:v>
                </c:pt>
                <c:pt idx="126">
                  <c:v>1.1523108571118986E-2</c:v>
                </c:pt>
                <c:pt idx="127">
                  <c:v>-2.109831769306119E-2</c:v>
                </c:pt>
                <c:pt idx="128">
                  <c:v>1.5082651452256679E-2</c:v>
                </c:pt>
                <c:pt idx="129">
                  <c:v>2.9626213877614466E-3</c:v>
                </c:pt>
                <c:pt idx="130">
                  <c:v>3.3040854032725699E-2</c:v>
                </c:pt>
                <c:pt idx="131">
                  <c:v>-2.7416754379095787E-3</c:v>
                </c:pt>
                <c:pt idx="132">
                  <c:v>1.0097186532658977E-2</c:v>
                </c:pt>
                <c:pt idx="133">
                  <c:v>2.7438015155436205E-2</c:v>
                </c:pt>
                <c:pt idx="134">
                  <c:v>-9.9801387845233468E-3</c:v>
                </c:pt>
                <c:pt idx="135">
                  <c:v>2.1837900351657762E-2</c:v>
                </c:pt>
                <c:pt idx="136">
                  <c:v>1.5049946718000968E-2</c:v>
                </c:pt>
                <c:pt idx="137">
                  <c:v>1.2097990044287495E-2</c:v>
                </c:pt>
                <c:pt idx="138">
                  <c:v>1.1820310283999968E-2</c:v>
                </c:pt>
                <c:pt idx="139">
                  <c:v>-2.5664686310065986E-2</c:v>
                </c:pt>
                <c:pt idx="140">
                  <c:v>1.9511182215675781E-2</c:v>
                </c:pt>
                <c:pt idx="141">
                  <c:v>2.3201193260778817E-2</c:v>
                </c:pt>
                <c:pt idx="142">
                  <c:v>6.3449712807427845E-3</c:v>
                </c:pt>
                <c:pt idx="143">
                  <c:v>2.0631393099886521E-2</c:v>
                </c:pt>
                <c:pt idx="144">
                  <c:v>1.6700591418794323E-2</c:v>
                </c:pt>
                <c:pt idx="145">
                  <c:v>6.0814892341149018E-3</c:v>
                </c:pt>
                <c:pt idx="146">
                  <c:v>-4.4005588536576426E-3</c:v>
                </c:pt>
                <c:pt idx="147">
                  <c:v>-3.3938694172366631E-3</c:v>
                </c:pt>
                <c:pt idx="148">
                  <c:v>-1.1206866332836083E-2</c:v>
                </c:pt>
                <c:pt idx="149">
                  <c:v>1.2243628949681338E-2</c:v>
                </c:pt>
                <c:pt idx="150">
                  <c:v>4.1766322440636536E-2</c:v>
                </c:pt>
                <c:pt idx="151">
                  <c:v>-1.8549911083353243E-2</c:v>
                </c:pt>
                <c:pt idx="152">
                  <c:v>-7.257607539783782E-3</c:v>
                </c:pt>
                <c:pt idx="153">
                  <c:v>-1.4403650678972517E-3</c:v>
                </c:pt>
                <c:pt idx="154">
                  <c:v>1.1987049896643955E-2</c:v>
                </c:pt>
                <c:pt idx="155">
                  <c:v>1.4279603297038901E-2</c:v>
                </c:pt>
                <c:pt idx="156">
                  <c:v>-2.2376501889732062E-2</c:v>
                </c:pt>
                <c:pt idx="157">
                  <c:v>6.5379767172573577E-3</c:v>
                </c:pt>
                <c:pt idx="158">
                  <c:v>1.1944992081767991E-2</c:v>
                </c:pt>
                <c:pt idx="159">
                  <c:v>6.2203424003451557E-3</c:v>
                </c:pt>
                <c:pt idx="160">
                  <c:v>2.3158111068243115E-2</c:v>
                </c:pt>
                <c:pt idx="161">
                  <c:v>9.7366868238072234E-3</c:v>
                </c:pt>
                <c:pt idx="162">
                  <c:v>-2.4155345638938317E-2</c:v>
                </c:pt>
                <c:pt idx="163">
                  <c:v>8.6693271427229956E-4</c:v>
                </c:pt>
                <c:pt idx="164">
                  <c:v>2.2958727337328975E-2</c:v>
                </c:pt>
                <c:pt idx="165">
                  <c:v>-7.8992544632479275E-3</c:v>
                </c:pt>
                <c:pt idx="166">
                  <c:v>1.8307002444723979E-2</c:v>
                </c:pt>
                <c:pt idx="167">
                  <c:v>-1.7737282029655129E-2</c:v>
                </c:pt>
                <c:pt idx="168">
                  <c:v>7.0312796555277229E-3</c:v>
                </c:pt>
                <c:pt idx="169">
                  <c:v>-1.6452538599184257E-2</c:v>
                </c:pt>
                <c:pt idx="170">
                  <c:v>-1.7356714878423003E-2</c:v>
                </c:pt>
                <c:pt idx="171">
                  <c:v>-8.729763098377679E-3</c:v>
                </c:pt>
                <c:pt idx="172">
                  <c:v>-1.8101078061835574E-2</c:v>
                </c:pt>
                <c:pt idx="173">
                  <c:v>-1.3147329647960556E-2</c:v>
                </c:pt>
                <c:pt idx="174">
                  <c:v>1.7451520797452411E-2</c:v>
                </c:pt>
                <c:pt idx="175">
                  <c:v>9.9265885592851578E-4</c:v>
                </c:pt>
                <c:pt idx="176">
                  <c:v>2.3474903678106238E-4</c:v>
                </c:pt>
                <c:pt idx="177">
                  <c:v>-2.6781327397920789E-3</c:v>
                </c:pt>
                <c:pt idx="178">
                  <c:v>1.5342576233092174E-2</c:v>
                </c:pt>
                <c:pt idx="179">
                  <c:v>1.4591293449240495E-2</c:v>
                </c:pt>
                <c:pt idx="180">
                  <c:v>2.8135924179478019E-2</c:v>
                </c:pt>
                <c:pt idx="181">
                  <c:v>-1.353386326923703E-2</c:v>
                </c:pt>
                <c:pt idx="182">
                  <c:v>9.7611514796592073E-3</c:v>
                </c:pt>
                <c:pt idx="183">
                  <c:v>-2.5120523430888903E-2</c:v>
                </c:pt>
                <c:pt idx="184">
                  <c:v>-1.7660048736817986E-2</c:v>
                </c:pt>
                <c:pt idx="185">
                  <c:v>3.4920936420693056E-2</c:v>
                </c:pt>
                <c:pt idx="186">
                  <c:v>-1.1220403218834147E-2</c:v>
                </c:pt>
                <c:pt idx="187">
                  <c:v>2.1466328318044712E-2</c:v>
                </c:pt>
                <c:pt idx="188">
                  <c:v>3.4002953400263179E-2</c:v>
                </c:pt>
                <c:pt idx="189">
                  <c:v>2.5995161174181224E-2</c:v>
                </c:pt>
                <c:pt idx="190">
                  <c:v>8.7222652780499701E-4</c:v>
                </c:pt>
                <c:pt idx="191">
                  <c:v>1.4416357599458982E-2</c:v>
                </c:pt>
                <c:pt idx="192">
                  <c:v>-8.7281875634808905E-3</c:v>
                </c:pt>
                <c:pt idx="193">
                  <c:v>1.8558262936177111E-2</c:v>
                </c:pt>
                <c:pt idx="194">
                  <c:v>-2.7299373130151343E-2</c:v>
                </c:pt>
                <c:pt idx="195">
                  <c:v>-2.3290711260419514E-2</c:v>
                </c:pt>
                <c:pt idx="196">
                  <c:v>1.3268326528208822E-3</c:v>
                </c:pt>
                <c:pt idx="197">
                  <c:v>4.6850077265025341E-3</c:v>
                </c:pt>
                <c:pt idx="198">
                  <c:v>3.3125092512153349E-3</c:v>
                </c:pt>
                <c:pt idx="199">
                  <c:v>2.249420461202728E-2</c:v>
                </c:pt>
                <c:pt idx="200">
                  <c:v>9.7613877845877644E-3</c:v>
                </c:pt>
                <c:pt idx="201">
                  <c:v>1.7554857276541813E-3</c:v>
                </c:pt>
                <c:pt idx="202">
                  <c:v>3.1582540020159582E-3</c:v>
                </c:pt>
                <c:pt idx="203">
                  <c:v>3.4380168430226392E-2</c:v>
                </c:pt>
                <c:pt idx="204">
                  <c:v>5.2454139482314706E-2</c:v>
                </c:pt>
                <c:pt idx="205">
                  <c:v>-3.7187319654784171E-3</c:v>
                </c:pt>
                <c:pt idx="206">
                  <c:v>2.5746237943746725E-2</c:v>
                </c:pt>
                <c:pt idx="207">
                  <c:v>-8.9891644879223909E-3</c:v>
                </c:pt>
                <c:pt idx="208">
                  <c:v>-4.5595152875624462E-2</c:v>
                </c:pt>
                <c:pt idx="209">
                  <c:v>1.231576194030368E-2</c:v>
                </c:pt>
                <c:pt idx="210">
                  <c:v>4.8319547557330506E-2</c:v>
                </c:pt>
                <c:pt idx="211">
                  <c:v>-4.7906465959405065E-2</c:v>
                </c:pt>
                <c:pt idx="212">
                  <c:v>-4.0213792611812994E-2</c:v>
                </c:pt>
                <c:pt idx="213">
                  <c:v>2.4294709701215408E-3</c:v>
                </c:pt>
                <c:pt idx="214">
                  <c:v>-2.80963103881498E-2</c:v>
                </c:pt>
                <c:pt idx="215">
                  <c:v>-3.3293811780560671E-2</c:v>
                </c:pt>
                <c:pt idx="216">
                  <c:v>2.8065072979679848E-2</c:v>
                </c:pt>
                <c:pt idx="217">
                  <c:v>1.3539534352638841E-2</c:v>
                </c:pt>
                <c:pt idx="218">
                  <c:v>2.5973439031212017E-2</c:v>
                </c:pt>
                <c:pt idx="219">
                  <c:v>2.812957314831865E-3</c:v>
                </c:pt>
                <c:pt idx="220">
                  <c:v>-1.161597539849504E-3</c:v>
                </c:pt>
                <c:pt idx="221">
                  <c:v>1.4043358245012601E-2</c:v>
                </c:pt>
                <c:pt idx="222">
                  <c:v>-0.13098643559304651</c:v>
                </c:pt>
                <c:pt idx="223">
                  <c:v>5.8068962731743952E-3</c:v>
                </c:pt>
                <c:pt idx="224">
                  <c:v>9.2279518703742604E-3</c:v>
                </c:pt>
                <c:pt idx="225">
                  <c:v>2.8075435199607757E-2</c:v>
                </c:pt>
                <c:pt idx="226">
                  <c:v>8.6739804395535459E-3</c:v>
                </c:pt>
                <c:pt idx="227">
                  <c:v>1.0046972017080278E-2</c:v>
                </c:pt>
                <c:pt idx="228">
                  <c:v>5.7381248049298067E-3</c:v>
                </c:pt>
                <c:pt idx="229">
                  <c:v>-2.0293944719896734E-2</c:v>
                </c:pt>
                <c:pt idx="230">
                  <c:v>2.5787037765966674E-2</c:v>
                </c:pt>
                <c:pt idx="231">
                  <c:v>-1.0332035331201228E-2</c:v>
                </c:pt>
                <c:pt idx="232">
                  <c:v>-1.5012620362689716E-2</c:v>
                </c:pt>
                <c:pt idx="233">
                  <c:v>3.8130767790355909E-2</c:v>
                </c:pt>
                <c:pt idx="234">
                  <c:v>2.4495317235127315E-3</c:v>
                </c:pt>
                <c:pt idx="235">
                  <c:v>6.9980244588208982E-3</c:v>
                </c:pt>
                <c:pt idx="236">
                  <c:v>-1.0710756152072728E-2</c:v>
                </c:pt>
                <c:pt idx="237">
                  <c:v>1.2146547452277586E-2</c:v>
                </c:pt>
                <c:pt idx="238">
                  <c:v>-1.5888197810362614E-2</c:v>
                </c:pt>
                <c:pt idx="239">
                  <c:v>-1.4328592841557478E-2</c:v>
                </c:pt>
                <c:pt idx="240">
                  <c:v>2.3391193054322263E-2</c:v>
                </c:pt>
                <c:pt idx="241">
                  <c:v>1.4923107939085588E-2</c:v>
                </c:pt>
                <c:pt idx="242">
                  <c:v>-2.0349351305933992E-2</c:v>
                </c:pt>
                <c:pt idx="243">
                  <c:v>3.7098740002940493E-2</c:v>
                </c:pt>
                <c:pt idx="244">
                  <c:v>1.0242279426312834E-2</c:v>
                </c:pt>
              </c:numCache>
            </c:numRef>
          </c:xVal>
          <c:yVal>
            <c:numRef>
              <c:f>'1) Estadística'!$D$10:$D$254</c:f>
              <c:numCache>
                <c:formatCode>0.0%</c:formatCode>
                <c:ptCount val="245"/>
                <c:pt idx="0">
                  <c:v>9.3799541298154095E-3</c:v>
                </c:pt>
                <c:pt idx="1">
                  <c:v>-2.5841231183887328E-2</c:v>
                </c:pt>
                <c:pt idx="2">
                  <c:v>-5.5569851154810765E-2</c:v>
                </c:pt>
                <c:pt idx="3">
                  <c:v>5.3531114464962358E-2</c:v>
                </c:pt>
                <c:pt idx="4">
                  <c:v>-4.5779137660644481E-2</c:v>
                </c:pt>
                <c:pt idx="5">
                  <c:v>-3.8172573505029714E-2</c:v>
                </c:pt>
                <c:pt idx="6">
                  <c:v>0</c:v>
                </c:pt>
                <c:pt idx="7">
                  <c:v>-1.8709079358117313E-3</c:v>
                </c:pt>
                <c:pt idx="8">
                  <c:v>3.0362863730117966E-2</c:v>
                </c:pt>
                <c:pt idx="9">
                  <c:v>-5.7637047167501294E-3</c:v>
                </c:pt>
                <c:pt idx="10">
                  <c:v>-1.5209418663528795E-2</c:v>
                </c:pt>
                <c:pt idx="11">
                  <c:v>9.4787439545437387E-3</c:v>
                </c:pt>
                <c:pt idx="12">
                  <c:v>-3.7387532071620329E-2</c:v>
                </c:pt>
                <c:pt idx="13">
                  <c:v>3.3585246121881768E-2</c:v>
                </c:pt>
                <c:pt idx="14">
                  <c:v>1.3371736965889241E-2</c:v>
                </c:pt>
                <c:pt idx="15">
                  <c:v>-1.3371736965889308E-2</c:v>
                </c:pt>
                <c:pt idx="16">
                  <c:v>-9.4429408002820719E-3</c:v>
                </c:pt>
                <c:pt idx="17">
                  <c:v>1.8975901459005604E-2</c:v>
                </c:pt>
                <c:pt idx="18">
                  <c:v>0.15287435546765371</c:v>
                </c:pt>
                <c:pt idx="19">
                  <c:v>4.9180865483251228E-2</c:v>
                </c:pt>
                <c:pt idx="20">
                  <c:v>-2.3419214450811437E-3</c:v>
                </c:pt>
                <c:pt idx="21">
                  <c:v>-2.0834086902841914E-2</c:v>
                </c:pt>
                <c:pt idx="22">
                  <c:v>-3.0459207484708574E-2</c:v>
                </c:pt>
                <c:pt idx="23">
                  <c:v>0.106595846265819</c:v>
                </c:pt>
                <c:pt idx="24">
                  <c:v>-3.8792742914456217E-2</c:v>
                </c:pt>
                <c:pt idx="25">
                  <c:v>-2.3502844454782779E-2</c:v>
                </c:pt>
                <c:pt idx="26">
                  <c:v>-1.6129381929883644E-2</c:v>
                </c:pt>
                <c:pt idx="27">
                  <c:v>-1.1363758650315095E-2</c:v>
                </c:pt>
                <c:pt idx="28">
                  <c:v>1.0221554071538227E-2</c:v>
                </c:pt>
                <c:pt idx="29">
                  <c:v>8.022965670999244E-3</c:v>
                </c:pt>
                <c:pt idx="30">
                  <c:v>3.1563111023065304E-2</c:v>
                </c:pt>
                <c:pt idx="31">
                  <c:v>-1.9988907741928713E-2</c:v>
                </c:pt>
                <c:pt idx="32">
                  <c:v>-0.11012215289918283</c:v>
                </c:pt>
                <c:pt idx="33">
                  <c:v>-0.1076519446367019</c:v>
                </c:pt>
                <c:pt idx="34">
                  <c:v>3.7523496185503718E-3</c:v>
                </c:pt>
                <c:pt idx="35">
                  <c:v>8.0199361547123899E-2</c:v>
                </c:pt>
                <c:pt idx="36">
                  <c:v>7.3951318280134459E-2</c:v>
                </c:pt>
                <c:pt idx="37">
                  <c:v>-6.3715814386107739E-2</c:v>
                </c:pt>
                <c:pt idx="38">
                  <c:v>2.5001302205417401E-2</c:v>
                </c:pt>
                <c:pt idx="39">
                  <c:v>1.594930140767804E-2</c:v>
                </c:pt>
                <c:pt idx="40">
                  <c:v>-6.232546319782882E-2</c:v>
                </c:pt>
                <c:pt idx="41">
                  <c:v>-5.7717729252482586E-2</c:v>
                </c:pt>
                <c:pt idx="42">
                  <c:v>-3.9147589684271344E-2</c:v>
                </c:pt>
                <c:pt idx="43">
                  <c:v>-1.8264845260341873E-3</c:v>
                </c:pt>
                <c:pt idx="44">
                  <c:v>-2.5226562945675685E-2</c:v>
                </c:pt>
                <c:pt idx="45">
                  <c:v>-3.3248906958220102E-2</c:v>
                </c:pt>
                <c:pt idx="46">
                  <c:v>-6.8610903799452404E-3</c:v>
                </c:pt>
                <c:pt idx="47">
                  <c:v>-2.0305266160745683E-2</c:v>
                </c:pt>
                <c:pt idx="48">
                  <c:v>-8.3403319162189508E-3</c:v>
                </c:pt>
                <c:pt idx="49">
                  <c:v>3.7229341768355982E-2</c:v>
                </c:pt>
                <c:pt idx="50">
                  <c:v>-3.2233494574984312E-2</c:v>
                </c:pt>
                <c:pt idx="51">
                  <c:v>1.3445580709351118E-2</c:v>
                </c:pt>
                <c:pt idx="52">
                  <c:v>-3.1642939761258676E-2</c:v>
                </c:pt>
                <c:pt idx="53">
                  <c:v>2.8264558169631422E-2</c:v>
                </c:pt>
                <c:pt idx="54">
                  <c:v>4.8368667851284457E-2</c:v>
                </c:pt>
                <c:pt idx="55">
                  <c:v>-3.5335725813111273E-3</c:v>
                </c:pt>
                <c:pt idx="56">
                  <c:v>5.436120921888743E-2</c:v>
                </c:pt>
                <c:pt idx="57">
                  <c:v>3.2169282933391753E-2</c:v>
                </c:pt>
                <c:pt idx="58">
                  <c:v>-5.7905997577441526E-2</c:v>
                </c:pt>
                <c:pt idx="59">
                  <c:v>-2.3319442345144416E-2</c:v>
                </c:pt>
                <c:pt idx="60">
                  <c:v>-1.7714796483821156E-3</c:v>
                </c:pt>
                <c:pt idx="61">
                  <c:v>6.394872460027351E-2</c:v>
                </c:pt>
                <c:pt idx="62">
                  <c:v>5.6764580048051221E-3</c:v>
                </c:pt>
                <c:pt idx="63">
                  <c:v>-3.7248253880618934E-2</c:v>
                </c:pt>
                <c:pt idx="64">
                  <c:v>-5.4694758045353209E-3</c:v>
                </c:pt>
                <c:pt idx="65">
                  <c:v>-5.4832478625394705E-2</c:v>
                </c:pt>
                <c:pt idx="66">
                  <c:v>-1.3675426799675382E-2</c:v>
                </c:pt>
                <c:pt idx="67">
                  <c:v>-1.1814483413763122E-2</c:v>
                </c:pt>
                <c:pt idx="68">
                  <c:v>-1.1676529661835629E-2</c:v>
                </c:pt>
                <c:pt idx="69">
                  <c:v>-9.9010709827115698E-3</c:v>
                </c:pt>
                <c:pt idx="70">
                  <c:v>5.0515790136901745E-2</c:v>
                </c:pt>
                <c:pt idx="71">
                  <c:v>-5.2156479594361725E-2</c:v>
                </c:pt>
                <c:pt idx="72">
                  <c:v>2.1541843774754758E-2</c:v>
                </c:pt>
                <c:pt idx="73">
                  <c:v>3.0614635819606949E-2</c:v>
                </c:pt>
                <c:pt idx="74">
                  <c:v>8.6730812534288639E-3</c:v>
                </c:pt>
                <c:pt idx="75">
                  <c:v>-6.8992871486951435E-2</c:v>
                </c:pt>
                <c:pt idx="76">
                  <c:v>-2.7267126340339586E-2</c:v>
                </c:pt>
                <c:pt idx="77">
                  <c:v>-4.7885596039005031E-2</c:v>
                </c:pt>
                <c:pt idx="78">
                  <c:v>-3.0120504699917209E-3</c:v>
                </c:pt>
                <c:pt idx="79">
                  <c:v>-3.1090587070031005E-2</c:v>
                </c:pt>
                <c:pt idx="80">
                  <c:v>1.9132298081157354E-2</c:v>
                </c:pt>
                <c:pt idx="81">
                  <c:v>-2.6394494122942001E-2</c:v>
                </c:pt>
                <c:pt idx="82">
                  <c:v>-1.5793580258141354E-2</c:v>
                </c:pt>
                <c:pt idx="83">
                  <c:v>1.1461443519006598E-2</c:v>
                </c:pt>
                <c:pt idx="84">
                  <c:v>0</c:v>
                </c:pt>
                <c:pt idx="85">
                  <c:v>5.7803629154995493E-3</c:v>
                </c:pt>
                <c:pt idx="86">
                  <c:v>-5.7721862158473365E-2</c:v>
                </c:pt>
                <c:pt idx="87">
                  <c:v>6.645554212722779E-2</c:v>
                </c:pt>
                <c:pt idx="88">
                  <c:v>-1.5953927942241593E-2</c:v>
                </c:pt>
                <c:pt idx="89">
                  <c:v>5.3188311062284853E-2</c:v>
                </c:pt>
                <c:pt idx="90">
                  <c:v>-1.804560246917445E-2</c:v>
                </c:pt>
                <c:pt idx="91">
                  <c:v>1.3503581034673525E-2</c:v>
                </c:pt>
                <c:pt idx="92">
                  <c:v>-1.6479773707719535E-2</c:v>
                </c:pt>
                <c:pt idx="93">
                  <c:v>-2.3495941368930882E-2</c:v>
                </c:pt>
                <c:pt idx="94">
                  <c:v>-3.8438895946986934E-2</c:v>
                </c:pt>
                <c:pt idx="95">
                  <c:v>1.4064929467403457E-2</c:v>
                </c:pt>
                <c:pt idx="96">
                  <c:v>-3.2058494515416189E-2</c:v>
                </c:pt>
                <c:pt idx="97">
                  <c:v>6.9580933838505943E-2</c:v>
                </c:pt>
                <c:pt idx="98">
                  <c:v>-1.3148472843506323E-2</c:v>
                </c:pt>
                <c:pt idx="99">
                  <c:v>-3.2836640398317136E-2</c:v>
                </c:pt>
                <c:pt idx="100">
                  <c:v>-2.4966622730461057E-2</c:v>
                </c:pt>
                <c:pt idx="101">
                  <c:v>-1.7651510575322313E-2</c:v>
                </c:pt>
                <c:pt idx="102">
                  <c:v>0</c:v>
                </c:pt>
                <c:pt idx="103">
                  <c:v>3.0056907432810077E-2</c:v>
                </c:pt>
                <c:pt idx="104">
                  <c:v>0</c:v>
                </c:pt>
                <c:pt idx="105">
                  <c:v>-4.076651447918566E-2</c:v>
                </c:pt>
                <c:pt idx="106">
                  <c:v>-2.8873396823287264E-2</c:v>
                </c:pt>
                <c:pt idx="107">
                  <c:v>1.2944985626457955E-3</c:v>
                </c:pt>
                <c:pt idx="108">
                  <c:v>1.2961764614468981E-3</c:v>
                </c:pt>
                <c:pt idx="109">
                  <c:v>-1.1605546120308003E-2</c:v>
                </c:pt>
                <c:pt idx="110">
                  <c:v>2.9930666246188706E-2</c:v>
                </c:pt>
                <c:pt idx="111">
                  <c:v>-5.8991460509312789E-2</c:v>
                </c:pt>
                <c:pt idx="112">
                  <c:v>-4.5047177890597694E-2</c:v>
                </c:pt>
                <c:pt idx="113">
                  <c:v>4.2559614418795903E-2</c:v>
                </c:pt>
                <c:pt idx="114">
                  <c:v>0.10054122922187746</c:v>
                </c:pt>
                <c:pt idx="115">
                  <c:v>-2.7434859457508326E-3</c:v>
                </c:pt>
                <c:pt idx="116">
                  <c:v>-4.1011677442146779E-3</c:v>
                </c:pt>
                <c:pt idx="117">
                  <c:v>0</c:v>
                </c:pt>
                <c:pt idx="118">
                  <c:v>-2.025727608782572E-2</c:v>
                </c:pt>
                <c:pt idx="119">
                  <c:v>-1.9855053309979789E-2</c:v>
                </c:pt>
                <c:pt idx="120">
                  <c:v>-3.9825429962678835E-2</c:v>
                </c:pt>
                <c:pt idx="121">
                  <c:v>-3.3439648205292313E-2</c:v>
                </c:pt>
                <c:pt idx="122">
                  <c:v>-1.5710292906318663E-2</c:v>
                </c:pt>
                <c:pt idx="123">
                  <c:v>5.5467081512872454E-2</c:v>
                </c:pt>
                <c:pt idx="124">
                  <c:v>5.4701135713056966E-2</c:v>
                </c:pt>
                <c:pt idx="125">
                  <c:v>5.0800215097456136E-2</c:v>
                </c:pt>
                <c:pt idx="126">
                  <c:v>7.0671672230923528E-3</c:v>
                </c:pt>
                <c:pt idx="127">
                  <c:v>-6.0541180704950869E-2</c:v>
                </c:pt>
                <c:pt idx="128">
                  <c:v>9.3897403498391374E-3</c:v>
                </c:pt>
                <c:pt idx="129">
                  <c:v>-3.8339130395948905E-2</c:v>
                </c:pt>
                <c:pt idx="130">
                  <c:v>4.9179344948813826E-2</c:v>
                </c:pt>
                <c:pt idx="131">
                  <c:v>7.2014169043725706E-2</c:v>
                </c:pt>
                <c:pt idx="132">
                  <c:v>6.0350135333170636E-2</c:v>
                </c:pt>
                <c:pt idx="133">
                  <c:v>-4.7085386674687743E-2</c:v>
                </c:pt>
                <c:pt idx="134">
                  <c:v>4.7085386674687861E-2</c:v>
                </c:pt>
                <c:pt idx="135">
                  <c:v>7.0883126122169973E-2</c:v>
                </c:pt>
                <c:pt idx="136">
                  <c:v>2.7074411764957004E-2</c:v>
                </c:pt>
                <c:pt idx="137">
                  <c:v>8.6133176781149293E-3</c:v>
                </c:pt>
                <c:pt idx="138">
                  <c:v>2.4519617174318446E-2</c:v>
                </c:pt>
                <c:pt idx="139">
                  <c:v>-1.5831465216680628E-2</c:v>
                </c:pt>
                <c:pt idx="140">
                  <c:v>5.9316577156419505E-2</c:v>
                </c:pt>
                <c:pt idx="141">
                  <c:v>-1.4706147389695449E-2</c:v>
                </c:pt>
                <c:pt idx="142">
                  <c:v>-3.055044419842548E-2</c:v>
                </c:pt>
                <c:pt idx="143">
                  <c:v>3.0550444198425453E-2</c:v>
                </c:pt>
                <c:pt idx="144">
                  <c:v>5.2446475372542524E-2</c:v>
                </c:pt>
                <c:pt idx="145">
                  <c:v>-7.6628727455691371E-3</c:v>
                </c:pt>
                <c:pt idx="146">
                  <c:v>3.8240964384032546E-3</c:v>
                </c:pt>
                <c:pt idx="147">
                  <c:v>9.6247133742096928E-3</c:v>
                </c:pt>
                <c:pt idx="148">
                  <c:v>-7.7071672449377784E-3</c:v>
                </c:pt>
                <c:pt idx="149">
                  <c:v>1.9380451549662593E-2</c:v>
                </c:pt>
                <c:pt idx="150">
                  <c:v>7.8585866125213105E-3</c:v>
                </c:pt>
                <c:pt idx="151">
                  <c:v>-3.1070460473739573E-2</c:v>
                </c:pt>
                <c:pt idx="152">
                  <c:v>-3.8167985267008537E-3</c:v>
                </c:pt>
                <c:pt idx="153">
                  <c:v>-9.47874395454377E-3</c:v>
                </c:pt>
                <c:pt idx="154">
                  <c:v>0</c:v>
                </c:pt>
                <c:pt idx="155">
                  <c:v>1.1385322225125429E-2</c:v>
                </c:pt>
                <c:pt idx="156">
                  <c:v>-2.077506257496441E-2</c:v>
                </c:pt>
                <c:pt idx="157">
                  <c:v>-1.668249995993602E-2</c:v>
                </c:pt>
                <c:pt idx="158">
                  <c:v>-1.2785562296971927E-2</c:v>
                </c:pt>
                <c:pt idx="159">
                  <c:v>1.0949014489670523E-2</c:v>
                </c:pt>
                <c:pt idx="160">
                  <c:v>0</c:v>
                </c:pt>
                <c:pt idx="161">
                  <c:v>-1.8331810816609605E-3</c:v>
                </c:pt>
                <c:pt idx="162">
                  <c:v>-1.0929070532190317E-2</c:v>
                </c:pt>
                <c:pt idx="163">
                  <c:v>9.0992438551140888E-3</c:v>
                </c:pt>
                <c:pt idx="164">
                  <c:v>0</c:v>
                </c:pt>
                <c:pt idx="165">
                  <c:v>-1.0909199100353508E-2</c:v>
                </c:pt>
                <c:pt idx="166">
                  <c:v>-1.0791471632764432E-2</c:v>
                </c:pt>
                <c:pt idx="167">
                  <c:v>-2.9958187540792144E-2</c:v>
                </c:pt>
                <c:pt idx="168">
                  <c:v>1.398624197473987E-2</c:v>
                </c:pt>
                <c:pt idx="169">
                  <c:v>3.0386609568236696E-2</c:v>
                </c:pt>
                <c:pt idx="170">
                  <c:v>1.8165309263980069E-3</c:v>
                </c:pt>
                <c:pt idx="171">
                  <c:v>2.2059718064732257E-2</c:v>
                </c:pt>
                <c:pt idx="172">
                  <c:v>-1.6590242260196921E-2</c:v>
                </c:pt>
                <c:pt idx="173">
                  <c:v>-1.2715884325302561E-2</c:v>
                </c:pt>
                <c:pt idx="174">
                  <c:v>1.6378892084039681E-2</c:v>
                </c:pt>
                <c:pt idx="175">
                  <c:v>-7.3126468462864904E-3</c:v>
                </c:pt>
                <c:pt idx="176">
                  <c:v>-1.2669852741051778E-2</c:v>
                </c:pt>
                <c:pt idx="177">
                  <c:v>-2.3112139875748491E-2</c:v>
                </c:pt>
                <c:pt idx="178">
                  <c:v>8.8261826282721185E-3</c:v>
                </c:pt>
                <c:pt idx="179">
                  <c:v>5.3333459753626029E-3</c:v>
                </c:pt>
                <c:pt idx="180">
                  <c:v>6.4419692784986521E-2</c:v>
                </c:pt>
                <c:pt idx="181">
                  <c:v>-2.441435817128727E-2</c:v>
                </c:pt>
                <c:pt idx="182">
                  <c:v>0</c:v>
                </c:pt>
                <c:pt idx="183">
                  <c:v>-2.9252542837437397E-2</c:v>
                </c:pt>
                <c:pt idx="184">
                  <c:v>-1.8001805041478545E-3</c:v>
                </c:pt>
                <c:pt idx="185">
                  <c:v>1.0850016024065844E-2</c:v>
                </c:pt>
                <c:pt idx="186">
                  <c:v>-3.0441025501235522E-2</c:v>
                </c:pt>
                <c:pt idx="187">
                  <c:v>-3.5211303985788248E-3</c:v>
                </c:pt>
                <c:pt idx="188">
                  <c:v>2.1315194199046716E-2</c:v>
                </c:pt>
                <c:pt idx="189">
                  <c:v>2.3615993071341421E-2</c:v>
                </c:pt>
                <c:pt idx="190">
                  <c:v>5.5299680094609551E-3</c:v>
                </c:pt>
                <c:pt idx="191">
                  <c:v>-2.1938722675853218E-2</c:v>
                </c:pt>
                <c:pt idx="192">
                  <c:v>-5.4102927282476546E-3</c:v>
                </c:pt>
                <c:pt idx="193">
                  <c:v>1.0850016024065844E-2</c:v>
                </c:pt>
                <c:pt idx="194">
                  <c:v>-1.4440684154794247E-2</c:v>
                </c:pt>
                <c:pt idx="195">
                  <c:v>-3.0011078416039508E-2</c:v>
                </c:pt>
                <c:pt idx="196">
                  <c:v>-2.2356907101276448E-2</c:v>
                </c:pt>
                <c:pt idx="197">
                  <c:v>-1.1834457647002909E-2</c:v>
                </c:pt>
                <c:pt idx="198">
                  <c:v>0</c:v>
                </c:pt>
                <c:pt idx="199">
                  <c:v>8.4388686458646035E-3</c:v>
                </c:pt>
                <c:pt idx="200">
                  <c:v>-1.8472397635442429E-2</c:v>
                </c:pt>
                <c:pt idx="201">
                  <c:v>-1.6502024636387759E-2</c:v>
                </c:pt>
                <c:pt idx="202">
                  <c:v>1.9835361056146115E-2</c:v>
                </c:pt>
                <c:pt idx="203">
                  <c:v>5.4902294387697274E-2</c:v>
                </c:pt>
                <c:pt idx="204">
                  <c:v>3.4084016779736735E-2</c:v>
                </c:pt>
                <c:pt idx="205">
                  <c:v>-1.0889399799268319E-2</c:v>
                </c:pt>
                <c:pt idx="206">
                  <c:v>5.9497098864644951E-2</c:v>
                </c:pt>
                <c:pt idx="207">
                  <c:v>-7.205331764005754E-2</c:v>
                </c:pt>
                <c:pt idx="208">
                  <c:v>-1.5915455305899457E-2</c:v>
                </c:pt>
                <c:pt idx="209">
                  <c:v>-1.7528488274143605E-3</c:v>
                </c:pt>
                <c:pt idx="210">
                  <c:v>5.9530649494225936E-2</c:v>
                </c:pt>
                <c:pt idx="211">
                  <c:v>-3.650040221952653E-2</c:v>
                </c:pt>
                <c:pt idx="212">
                  <c:v>-5.7457055024787318E-2</c:v>
                </c:pt>
                <c:pt idx="213">
                  <c:v>1.6934805063331477E-3</c:v>
                </c:pt>
                <c:pt idx="214">
                  <c:v>-1.1794576492837041E-2</c:v>
                </c:pt>
                <c:pt idx="215">
                  <c:v>-2.6447822543609254E-2</c:v>
                </c:pt>
                <c:pt idx="216">
                  <c:v>1.6326534238853118E-3</c:v>
                </c:pt>
                <c:pt idx="217">
                  <c:v>3.3225647628320386E-2</c:v>
                </c:pt>
                <c:pt idx="218">
                  <c:v>1.1894787652149146E-2</c:v>
                </c:pt>
                <c:pt idx="219">
                  <c:v>-1.1894787652149207E-2</c:v>
                </c:pt>
                <c:pt idx="220">
                  <c:v>0</c:v>
                </c:pt>
                <c:pt idx="221">
                  <c:v>3.3840979842404942E-3</c:v>
                </c:pt>
                <c:pt idx="222">
                  <c:v>-6.4008719800675407E-2</c:v>
                </c:pt>
                <c:pt idx="223">
                  <c:v>-7.9176977367853493E-3</c:v>
                </c:pt>
                <c:pt idx="224">
                  <c:v>0</c:v>
                </c:pt>
                <c:pt idx="225">
                  <c:v>1.1102413804305104E-2</c:v>
                </c:pt>
                <c:pt idx="226">
                  <c:v>4.0689095324099755E-2</c:v>
                </c:pt>
                <c:pt idx="227">
                  <c:v>1.0016778243471209E-2</c:v>
                </c:pt>
                <c:pt idx="228">
                  <c:v>5.0462680676244395E-3</c:v>
                </c:pt>
                <c:pt idx="229">
                  <c:v>-2.4980482968441589E-2</c:v>
                </c:pt>
                <c:pt idx="230">
                  <c:v>2.3295562603522082E-2</c:v>
                </c:pt>
                <c:pt idx="231">
                  <c:v>-2.9852963149681274E-2</c:v>
                </c:pt>
                <c:pt idx="232">
                  <c:v>-2.1019367224075346E-2</c:v>
                </c:pt>
                <c:pt idx="233">
                  <c:v>5.9325466084814919E-2</c:v>
                </c:pt>
                <c:pt idx="234">
                  <c:v>1.367542679967549E-2</c:v>
                </c:pt>
                <c:pt idx="235">
                  <c:v>1.9114396023315453E-2</c:v>
                </c:pt>
                <c:pt idx="236">
                  <c:v>-2.4264621999631208E-2</c:v>
                </c:pt>
                <c:pt idx="237">
                  <c:v>-1.7108644036294301E-3</c:v>
                </c:pt>
                <c:pt idx="238">
                  <c:v>-3.8563034734310477E-2</c:v>
                </c:pt>
                <c:pt idx="239">
                  <c:v>-1.7930390718429133E-2</c:v>
                </c:pt>
                <c:pt idx="240">
                  <c:v>3.6188159291993885E-2</c:v>
                </c:pt>
                <c:pt idx="241">
                  <c:v>2.5446665661164176E-2</c:v>
                </c:pt>
                <c:pt idx="242">
                  <c:v>-4.698850943591909E-2</c:v>
                </c:pt>
                <c:pt idx="243">
                  <c:v>8.3738051644660666E-2</c:v>
                </c:pt>
                <c:pt idx="244">
                  <c:v>4.558674445189427E-2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C5-404D-B488-8B89BBBD6E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6289712"/>
        <c:axId val="946303856"/>
      </c:scatterChart>
      <c:valAx>
        <c:axId val="946289712"/>
        <c:scaling>
          <c:orientation val="minMax"/>
        </c:scaling>
        <c:delete val="0"/>
        <c:axPos val="b"/>
        <c:numFmt formatCode="0.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46303856"/>
        <c:crosses val="autoZero"/>
        <c:crossBetween val="midCat"/>
      </c:valAx>
      <c:valAx>
        <c:axId val="946303856"/>
        <c:scaling>
          <c:orientation val="minMax"/>
        </c:scaling>
        <c:delete val="0"/>
        <c:axPos val="l"/>
        <c:numFmt formatCode="0.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46289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580927384076991E-2"/>
          <c:y val="5.0925925925925923E-2"/>
          <c:w val="0.8465877077865267"/>
          <c:h val="0.64979950422863797"/>
        </c:manualLayout>
      </c:layout>
      <c:lineChart>
        <c:grouping val="standard"/>
        <c:varyColors val="0"/>
        <c:ser>
          <c:idx val="1"/>
          <c:order val="1"/>
          <c:tx>
            <c:strRef>
              <c:f>'1) Estadística'!$G$9</c:f>
              <c:strCache>
                <c:ptCount val="1"/>
                <c:pt idx="0">
                  <c:v>AGRO USD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'1) Estadística'!$A$10:$A$255</c:f>
              <c:numCache>
                <c:formatCode>[$-C0A]mmm\-yy;@</c:formatCode>
                <c:ptCount val="246"/>
                <c:pt idx="0">
                  <c:v>45814</c:v>
                </c:pt>
                <c:pt idx="1">
                  <c:v>45813</c:v>
                </c:pt>
                <c:pt idx="2">
                  <c:v>45812</c:v>
                </c:pt>
                <c:pt idx="3">
                  <c:v>45811</c:v>
                </c:pt>
                <c:pt idx="4">
                  <c:v>45810</c:v>
                </c:pt>
                <c:pt idx="5">
                  <c:v>45807</c:v>
                </c:pt>
                <c:pt idx="6">
                  <c:v>45806</c:v>
                </c:pt>
                <c:pt idx="7">
                  <c:v>45805</c:v>
                </c:pt>
                <c:pt idx="8">
                  <c:v>45804</c:v>
                </c:pt>
                <c:pt idx="9">
                  <c:v>45803</c:v>
                </c:pt>
                <c:pt idx="10">
                  <c:v>45800</c:v>
                </c:pt>
                <c:pt idx="11">
                  <c:v>45799</c:v>
                </c:pt>
                <c:pt idx="12">
                  <c:v>45798</c:v>
                </c:pt>
                <c:pt idx="13">
                  <c:v>45797</c:v>
                </c:pt>
                <c:pt idx="14">
                  <c:v>45796</c:v>
                </c:pt>
                <c:pt idx="15">
                  <c:v>45793</c:v>
                </c:pt>
                <c:pt idx="16">
                  <c:v>45792</c:v>
                </c:pt>
                <c:pt idx="17">
                  <c:v>45791</c:v>
                </c:pt>
                <c:pt idx="18">
                  <c:v>45790</c:v>
                </c:pt>
                <c:pt idx="19">
                  <c:v>45789</c:v>
                </c:pt>
                <c:pt idx="20">
                  <c:v>45786</c:v>
                </c:pt>
                <c:pt idx="21">
                  <c:v>45785</c:v>
                </c:pt>
                <c:pt idx="22">
                  <c:v>45784</c:v>
                </c:pt>
                <c:pt idx="23">
                  <c:v>45783</c:v>
                </c:pt>
                <c:pt idx="24">
                  <c:v>45782</c:v>
                </c:pt>
                <c:pt idx="25">
                  <c:v>45777</c:v>
                </c:pt>
                <c:pt idx="26">
                  <c:v>45776</c:v>
                </c:pt>
                <c:pt idx="27">
                  <c:v>45775</c:v>
                </c:pt>
                <c:pt idx="28">
                  <c:v>45772</c:v>
                </c:pt>
                <c:pt idx="29">
                  <c:v>45771</c:v>
                </c:pt>
                <c:pt idx="30">
                  <c:v>45770</c:v>
                </c:pt>
                <c:pt idx="31">
                  <c:v>45769</c:v>
                </c:pt>
                <c:pt idx="32">
                  <c:v>45768</c:v>
                </c:pt>
                <c:pt idx="33">
                  <c:v>45763</c:v>
                </c:pt>
                <c:pt idx="34">
                  <c:v>45762</c:v>
                </c:pt>
                <c:pt idx="35">
                  <c:v>45761</c:v>
                </c:pt>
                <c:pt idx="36">
                  <c:v>45758</c:v>
                </c:pt>
                <c:pt idx="37">
                  <c:v>45757</c:v>
                </c:pt>
                <c:pt idx="38">
                  <c:v>45756</c:v>
                </c:pt>
                <c:pt idx="39">
                  <c:v>45755</c:v>
                </c:pt>
                <c:pt idx="40">
                  <c:v>45754</c:v>
                </c:pt>
                <c:pt idx="41">
                  <c:v>45751</c:v>
                </c:pt>
                <c:pt idx="42">
                  <c:v>45750</c:v>
                </c:pt>
                <c:pt idx="43">
                  <c:v>45748</c:v>
                </c:pt>
                <c:pt idx="44">
                  <c:v>45747</c:v>
                </c:pt>
                <c:pt idx="45">
                  <c:v>45744</c:v>
                </c:pt>
                <c:pt idx="46">
                  <c:v>45743</c:v>
                </c:pt>
                <c:pt idx="47">
                  <c:v>45742</c:v>
                </c:pt>
                <c:pt idx="48">
                  <c:v>45741</c:v>
                </c:pt>
                <c:pt idx="49">
                  <c:v>45737</c:v>
                </c:pt>
                <c:pt idx="50">
                  <c:v>45736</c:v>
                </c:pt>
                <c:pt idx="51">
                  <c:v>45735</c:v>
                </c:pt>
                <c:pt idx="52">
                  <c:v>45734</c:v>
                </c:pt>
                <c:pt idx="53">
                  <c:v>45733</c:v>
                </c:pt>
                <c:pt idx="54">
                  <c:v>45730</c:v>
                </c:pt>
                <c:pt idx="55">
                  <c:v>45729</c:v>
                </c:pt>
                <c:pt idx="56">
                  <c:v>45728</c:v>
                </c:pt>
                <c:pt idx="57">
                  <c:v>45727</c:v>
                </c:pt>
                <c:pt idx="58">
                  <c:v>45726</c:v>
                </c:pt>
                <c:pt idx="59">
                  <c:v>45723</c:v>
                </c:pt>
                <c:pt idx="60">
                  <c:v>45722</c:v>
                </c:pt>
                <c:pt idx="61">
                  <c:v>45721</c:v>
                </c:pt>
                <c:pt idx="62">
                  <c:v>45716</c:v>
                </c:pt>
                <c:pt idx="63">
                  <c:v>45715</c:v>
                </c:pt>
                <c:pt idx="64">
                  <c:v>45714</c:v>
                </c:pt>
                <c:pt idx="65">
                  <c:v>45713</c:v>
                </c:pt>
                <c:pt idx="66">
                  <c:v>45712</c:v>
                </c:pt>
                <c:pt idx="67">
                  <c:v>45709</c:v>
                </c:pt>
                <c:pt idx="68">
                  <c:v>45708</c:v>
                </c:pt>
                <c:pt idx="69">
                  <c:v>45707</c:v>
                </c:pt>
                <c:pt idx="70">
                  <c:v>45706</c:v>
                </c:pt>
                <c:pt idx="71">
                  <c:v>45705</c:v>
                </c:pt>
                <c:pt idx="72">
                  <c:v>45702</c:v>
                </c:pt>
                <c:pt idx="73">
                  <c:v>45701</c:v>
                </c:pt>
                <c:pt idx="74">
                  <c:v>45700</c:v>
                </c:pt>
                <c:pt idx="75">
                  <c:v>45699</c:v>
                </c:pt>
                <c:pt idx="76">
                  <c:v>45698</c:v>
                </c:pt>
                <c:pt idx="77">
                  <c:v>45695</c:v>
                </c:pt>
                <c:pt idx="78">
                  <c:v>45694</c:v>
                </c:pt>
                <c:pt idx="79">
                  <c:v>45693</c:v>
                </c:pt>
                <c:pt idx="80">
                  <c:v>45692</c:v>
                </c:pt>
                <c:pt idx="81">
                  <c:v>45691</c:v>
                </c:pt>
                <c:pt idx="82">
                  <c:v>45688</c:v>
                </c:pt>
                <c:pt idx="83">
                  <c:v>45687</c:v>
                </c:pt>
                <c:pt idx="84">
                  <c:v>45686</c:v>
                </c:pt>
                <c:pt idx="85">
                  <c:v>45685</c:v>
                </c:pt>
                <c:pt idx="86">
                  <c:v>45684</c:v>
                </c:pt>
                <c:pt idx="87">
                  <c:v>45681</c:v>
                </c:pt>
                <c:pt idx="88">
                  <c:v>45680</c:v>
                </c:pt>
                <c:pt idx="89">
                  <c:v>45679</c:v>
                </c:pt>
                <c:pt idx="90">
                  <c:v>45678</c:v>
                </c:pt>
                <c:pt idx="91">
                  <c:v>45677</c:v>
                </c:pt>
                <c:pt idx="92">
                  <c:v>45674</c:v>
                </c:pt>
                <c:pt idx="93">
                  <c:v>45673</c:v>
                </c:pt>
                <c:pt idx="94">
                  <c:v>45672</c:v>
                </c:pt>
                <c:pt idx="95">
                  <c:v>45671</c:v>
                </c:pt>
                <c:pt idx="96">
                  <c:v>45670</c:v>
                </c:pt>
                <c:pt idx="97">
                  <c:v>45667</c:v>
                </c:pt>
                <c:pt idx="98">
                  <c:v>45666</c:v>
                </c:pt>
                <c:pt idx="99">
                  <c:v>45665</c:v>
                </c:pt>
                <c:pt idx="100">
                  <c:v>45664</c:v>
                </c:pt>
                <c:pt idx="101">
                  <c:v>45663</c:v>
                </c:pt>
                <c:pt idx="102">
                  <c:v>45660</c:v>
                </c:pt>
                <c:pt idx="103">
                  <c:v>45659</c:v>
                </c:pt>
                <c:pt idx="104">
                  <c:v>45657</c:v>
                </c:pt>
                <c:pt idx="105">
                  <c:v>45656</c:v>
                </c:pt>
                <c:pt idx="106">
                  <c:v>45653</c:v>
                </c:pt>
                <c:pt idx="107">
                  <c:v>45652</c:v>
                </c:pt>
                <c:pt idx="108">
                  <c:v>45650</c:v>
                </c:pt>
                <c:pt idx="109">
                  <c:v>45649</c:v>
                </c:pt>
                <c:pt idx="110">
                  <c:v>45646</c:v>
                </c:pt>
                <c:pt idx="111">
                  <c:v>45645</c:v>
                </c:pt>
                <c:pt idx="112">
                  <c:v>45644</c:v>
                </c:pt>
                <c:pt idx="113">
                  <c:v>45643</c:v>
                </c:pt>
                <c:pt idx="114">
                  <c:v>45642</c:v>
                </c:pt>
                <c:pt idx="115">
                  <c:v>45639</c:v>
                </c:pt>
                <c:pt idx="116">
                  <c:v>45638</c:v>
                </c:pt>
                <c:pt idx="117">
                  <c:v>45637</c:v>
                </c:pt>
                <c:pt idx="118">
                  <c:v>45636</c:v>
                </c:pt>
                <c:pt idx="119">
                  <c:v>45635</c:v>
                </c:pt>
                <c:pt idx="120">
                  <c:v>45632</c:v>
                </c:pt>
                <c:pt idx="121">
                  <c:v>45631</c:v>
                </c:pt>
                <c:pt idx="122">
                  <c:v>45630</c:v>
                </c:pt>
                <c:pt idx="123">
                  <c:v>45629</c:v>
                </c:pt>
                <c:pt idx="124">
                  <c:v>45628</c:v>
                </c:pt>
                <c:pt idx="125">
                  <c:v>45625</c:v>
                </c:pt>
                <c:pt idx="126">
                  <c:v>45624</c:v>
                </c:pt>
                <c:pt idx="127">
                  <c:v>45623</c:v>
                </c:pt>
                <c:pt idx="128">
                  <c:v>45622</c:v>
                </c:pt>
                <c:pt idx="129">
                  <c:v>45621</c:v>
                </c:pt>
                <c:pt idx="130">
                  <c:v>45618</c:v>
                </c:pt>
                <c:pt idx="131">
                  <c:v>45617</c:v>
                </c:pt>
                <c:pt idx="132">
                  <c:v>45616</c:v>
                </c:pt>
                <c:pt idx="133">
                  <c:v>45615</c:v>
                </c:pt>
                <c:pt idx="134">
                  <c:v>45611</c:v>
                </c:pt>
                <c:pt idx="135">
                  <c:v>45610</c:v>
                </c:pt>
                <c:pt idx="136">
                  <c:v>45609</c:v>
                </c:pt>
                <c:pt idx="137">
                  <c:v>45608</c:v>
                </c:pt>
                <c:pt idx="138">
                  <c:v>45607</c:v>
                </c:pt>
                <c:pt idx="139">
                  <c:v>45604</c:v>
                </c:pt>
                <c:pt idx="140">
                  <c:v>45603</c:v>
                </c:pt>
                <c:pt idx="141">
                  <c:v>45602</c:v>
                </c:pt>
                <c:pt idx="142">
                  <c:v>45601</c:v>
                </c:pt>
                <c:pt idx="143">
                  <c:v>45600</c:v>
                </c:pt>
                <c:pt idx="144">
                  <c:v>45597</c:v>
                </c:pt>
                <c:pt idx="145">
                  <c:v>45596</c:v>
                </c:pt>
                <c:pt idx="146">
                  <c:v>45595</c:v>
                </c:pt>
                <c:pt idx="147">
                  <c:v>45594</c:v>
                </c:pt>
                <c:pt idx="148">
                  <c:v>45593</c:v>
                </c:pt>
                <c:pt idx="149">
                  <c:v>45590</c:v>
                </c:pt>
                <c:pt idx="150">
                  <c:v>45589</c:v>
                </c:pt>
                <c:pt idx="151">
                  <c:v>45588</c:v>
                </c:pt>
                <c:pt idx="152">
                  <c:v>45587</c:v>
                </c:pt>
                <c:pt idx="153">
                  <c:v>45586</c:v>
                </c:pt>
                <c:pt idx="154">
                  <c:v>45583</c:v>
                </c:pt>
                <c:pt idx="155">
                  <c:v>45582</c:v>
                </c:pt>
                <c:pt idx="156">
                  <c:v>45581</c:v>
                </c:pt>
                <c:pt idx="157">
                  <c:v>45580</c:v>
                </c:pt>
                <c:pt idx="158">
                  <c:v>45579</c:v>
                </c:pt>
                <c:pt idx="159">
                  <c:v>45575</c:v>
                </c:pt>
                <c:pt idx="160">
                  <c:v>45574</c:v>
                </c:pt>
                <c:pt idx="161">
                  <c:v>45573</c:v>
                </c:pt>
                <c:pt idx="162">
                  <c:v>45572</c:v>
                </c:pt>
                <c:pt idx="163">
                  <c:v>45569</c:v>
                </c:pt>
                <c:pt idx="164">
                  <c:v>45568</c:v>
                </c:pt>
                <c:pt idx="165">
                  <c:v>45567</c:v>
                </c:pt>
                <c:pt idx="166">
                  <c:v>45566</c:v>
                </c:pt>
                <c:pt idx="167">
                  <c:v>45565</c:v>
                </c:pt>
                <c:pt idx="168">
                  <c:v>45562</c:v>
                </c:pt>
                <c:pt idx="169">
                  <c:v>45561</c:v>
                </c:pt>
                <c:pt idx="170">
                  <c:v>45560</c:v>
                </c:pt>
                <c:pt idx="171">
                  <c:v>45559</c:v>
                </c:pt>
                <c:pt idx="172">
                  <c:v>45558</c:v>
                </c:pt>
                <c:pt idx="173">
                  <c:v>45555</c:v>
                </c:pt>
                <c:pt idx="174">
                  <c:v>45554</c:v>
                </c:pt>
                <c:pt idx="175">
                  <c:v>45553</c:v>
                </c:pt>
                <c:pt idx="176">
                  <c:v>45552</c:v>
                </c:pt>
                <c:pt idx="177">
                  <c:v>45551</c:v>
                </c:pt>
                <c:pt idx="178">
                  <c:v>45548</c:v>
                </c:pt>
                <c:pt idx="179">
                  <c:v>45547</c:v>
                </c:pt>
                <c:pt idx="180">
                  <c:v>45546</c:v>
                </c:pt>
                <c:pt idx="181">
                  <c:v>45545</c:v>
                </c:pt>
                <c:pt idx="182">
                  <c:v>45544</c:v>
                </c:pt>
                <c:pt idx="183">
                  <c:v>45541</c:v>
                </c:pt>
                <c:pt idx="184">
                  <c:v>45540</c:v>
                </c:pt>
                <c:pt idx="185">
                  <c:v>45539</c:v>
                </c:pt>
                <c:pt idx="186">
                  <c:v>45538</c:v>
                </c:pt>
                <c:pt idx="187">
                  <c:v>45537</c:v>
                </c:pt>
                <c:pt idx="188">
                  <c:v>45534</c:v>
                </c:pt>
                <c:pt idx="189">
                  <c:v>45533</c:v>
                </c:pt>
                <c:pt idx="190">
                  <c:v>45532</c:v>
                </c:pt>
                <c:pt idx="191">
                  <c:v>45531</c:v>
                </c:pt>
                <c:pt idx="192">
                  <c:v>45530</c:v>
                </c:pt>
                <c:pt idx="193">
                  <c:v>45527</c:v>
                </c:pt>
                <c:pt idx="194">
                  <c:v>45526</c:v>
                </c:pt>
                <c:pt idx="195">
                  <c:v>45525</c:v>
                </c:pt>
                <c:pt idx="196">
                  <c:v>45524</c:v>
                </c:pt>
                <c:pt idx="197">
                  <c:v>45523</c:v>
                </c:pt>
                <c:pt idx="198">
                  <c:v>45520</c:v>
                </c:pt>
                <c:pt idx="199">
                  <c:v>45519</c:v>
                </c:pt>
                <c:pt idx="200">
                  <c:v>45518</c:v>
                </c:pt>
                <c:pt idx="201">
                  <c:v>45517</c:v>
                </c:pt>
                <c:pt idx="202">
                  <c:v>45516</c:v>
                </c:pt>
                <c:pt idx="203">
                  <c:v>45513</c:v>
                </c:pt>
                <c:pt idx="204">
                  <c:v>45512</c:v>
                </c:pt>
                <c:pt idx="205">
                  <c:v>45511</c:v>
                </c:pt>
                <c:pt idx="206">
                  <c:v>45510</c:v>
                </c:pt>
                <c:pt idx="207">
                  <c:v>45509</c:v>
                </c:pt>
                <c:pt idx="208">
                  <c:v>45506</c:v>
                </c:pt>
                <c:pt idx="209">
                  <c:v>45505</c:v>
                </c:pt>
                <c:pt idx="210">
                  <c:v>45504</c:v>
                </c:pt>
                <c:pt idx="211">
                  <c:v>45503</c:v>
                </c:pt>
                <c:pt idx="212">
                  <c:v>45502</c:v>
                </c:pt>
                <c:pt idx="213">
                  <c:v>45499</c:v>
                </c:pt>
                <c:pt idx="214">
                  <c:v>45498</c:v>
                </c:pt>
                <c:pt idx="215">
                  <c:v>45497</c:v>
                </c:pt>
                <c:pt idx="216">
                  <c:v>45496</c:v>
                </c:pt>
                <c:pt idx="217">
                  <c:v>45495</c:v>
                </c:pt>
                <c:pt idx="218">
                  <c:v>45492</c:v>
                </c:pt>
                <c:pt idx="219">
                  <c:v>45491</c:v>
                </c:pt>
                <c:pt idx="220">
                  <c:v>45490</c:v>
                </c:pt>
                <c:pt idx="221">
                  <c:v>45489</c:v>
                </c:pt>
                <c:pt idx="222">
                  <c:v>45488</c:v>
                </c:pt>
                <c:pt idx="223">
                  <c:v>45485</c:v>
                </c:pt>
                <c:pt idx="224">
                  <c:v>45484</c:v>
                </c:pt>
                <c:pt idx="225">
                  <c:v>45483</c:v>
                </c:pt>
                <c:pt idx="226">
                  <c:v>45481</c:v>
                </c:pt>
                <c:pt idx="227">
                  <c:v>45478</c:v>
                </c:pt>
                <c:pt idx="228">
                  <c:v>45477</c:v>
                </c:pt>
                <c:pt idx="229">
                  <c:v>45476</c:v>
                </c:pt>
                <c:pt idx="230">
                  <c:v>45475</c:v>
                </c:pt>
                <c:pt idx="231">
                  <c:v>45474</c:v>
                </c:pt>
                <c:pt idx="232">
                  <c:v>45471</c:v>
                </c:pt>
                <c:pt idx="233">
                  <c:v>45470</c:v>
                </c:pt>
                <c:pt idx="234">
                  <c:v>45469</c:v>
                </c:pt>
                <c:pt idx="235">
                  <c:v>45468</c:v>
                </c:pt>
                <c:pt idx="236">
                  <c:v>45467</c:v>
                </c:pt>
                <c:pt idx="237">
                  <c:v>45462</c:v>
                </c:pt>
                <c:pt idx="238">
                  <c:v>45461</c:v>
                </c:pt>
                <c:pt idx="239">
                  <c:v>45457</c:v>
                </c:pt>
                <c:pt idx="240">
                  <c:v>45456</c:v>
                </c:pt>
                <c:pt idx="241">
                  <c:v>45455</c:v>
                </c:pt>
                <c:pt idx="242">
                  <c:v>45454</c:v>
                </c:pt>
                <c:pt idx="243">
                  <c:v>45453</c:v>
                </c:pt>
                <c:pt idx="244">
                  <c:v>45450</c:v>
                </c:pt>
                <c:pt idx="245">
                  <c:v>45449</c:v>
                </c:pt>
              </c:numCache>
            </c:numRef>
          </c:cat>
          <c:val>
            <c:numRef>
              <c:f>'1) Estadística'!$G$10:$G$255</c:f>
              <c:numCache>
                <c:formatCode>0.000</c:formatCode>
                <c:ptCount val="246"/>
                <c:pt idx="0">
                  <c:v>4.0422676954042266E-2</c:v>
                </c:pt>
                <c:pt idx="1">
                  <c:v>4.0045958503161741E-2</c:v>
                </c:pt>
                <c:pt idx="2">
                  <c:v>4.1065352575384254E-2</c:v>
                </c:pt>
                <c:pt idx="3">
                  <c:v>4.3541486294518643E-2</c:v>
                </c:pt>
                <c:pt idx="4">
                  <c:v>4.1477301525621318E-2</c:v>
                </c:pt>
                <c:pt idx="5">
                  <c:v>4.3130936797234246E-2</c:v>
                </c:pt>
                <c:pt idx="6">
                  <c:v>4.5181487435485231E-2</c:v>
                </c:pt>
                <c:pt idx="7">
                  <c:v>4.5844780219780223E-2</c:v>
                </c:pt>
                <c:pt idx="8">
                  <c:v>4.6069060535606651E-2</c:v>
                </c:pt>
                <c:pt idx="9">
                  <c:v>4.531089032843847E-2</c:v>
                </c:pt>
                <c:pt idx="10">
                  <c:v>4.5656509113808912E-2</c:v>
                </c:pt>
                <c:pt idx="11">
                  <c:v>4.6349334056266345E-2</c:v>
                </c:pt>
                <c:pt idx="12">
                  <c:v>4.5699860724233987E-2</c:v>
                </c:pt>
                <c:pt idx="13">
                  <c:v>4.7254471833733623E-2</c:v>
                </c:pt>
                <c:pt idx="14">
                  <c:v>4.5875153424967577E-2</c:v>
                </c:pt>
                <c:pt idx="15">
                  <c:v>4.501696793406746E-2</c:v>
                </c:pt>
                <c:pt idx="16">
                  <c:v>4.619079339480419E-2</c:v>
                </c:pt>
                <c:pt idx="17">
                  <c:v>4.6629036216386775E-2</c:v>
                </c:pt>
                <c:pt idx="18">
                  <c:v>4.5752550573221612E-2</c:v>
                </c:pt>
                <c:pt idx="19">
                  <c:v>3.925692253767963E-2</c:v>
                </c:pt>
                <c:pt idx="20">
                  <c:v>3.7277884119533963E-2</c:v>
                </c:pt>
                <c:pt idx="21">
                  <c:v>3.7391106601826263E-2</c:v>
                </c:pt>
                <c:pt idx="22">
                  <c:v>3.7757229233523926E-2</c:v>
                </c:pt>
                <c:pt idx="23">
                  <c:v>3.7512191462225224E-2</c:v>
                </c:pt>
                <c:pt idx="24">
                  <c:v>3.3626508828517275E-2</c:v>
                </c:pt>
                <c:pt idx="25">
                  <c:v>3.5534110210669531E-2</c:v>
                </c:pt>
                <c:pt idx="26">
                  <c:v>3.6696074670758208E-2</c:v>
                </c:pt>
                <c:pt idx="27">
                  <c:v>3.7184990013174109E-2</c:v>
                </c:pt>
                <c:pt idx="28">
                  <c:v>3.7365736674998311E-2</c:v>
                </c:pt>
                <c:pt idx="29">
                  <c:v>3.6914363732901821E-2</c:v>
                </c:pt>
                <c:pt idx="30">
                  <c:v>3.7200342465753426E-2</c:v>
                </c:pt>
                <c:pt idx="31">
                  <c:v>3.6917518721829565E-2</c:v>
                </c:pt>
                <c:pt idx="32">
                  <c:v>3.8277128190503357E-2</c:v>
                </c:pt>
                <c:pt idx="33">
                  <c:v>4.1125968111293133E-2</c:v>
                </c:pt>
                <c:pt idx="34">
                  <c:v>4.3137571693997893E-2</c:v>
                </c:pt>
                <c:pt idx="35">
                  <c:v>4.24445508217648E-2</c:v>
                </c:pt>
                <c:pt idx="36">
                  <c:v>3.6825092062730158E-2</c:v>
                </c:pt>
                <c:pt idx="37">
                  <c:v>3.3430839949853741E-2</c:v>
                </c:pt>
                <c:pt idx="38">
                  <c:v>3.6222162597263213E-2</c:v>
                </c:pt>
                <c:pt idx="39">
                  <c:v>3.4433160441093145E-2</c:v>
                </c:pt>
                <c:pt idx="40">
                  <c:v>3.4042397927536765E-2</c:v>
                </c:pt>
                <c:pt idx="41">
                  <c:v>3.7040076392826235E-2</c:v>
                </c:pt>
                <c:pt idx="42">
                  <c:v>3.9866001728032015E-2</c:v>
                </c:pt>
                <c:pt idx="43">
                  <c:v>4.1613730248693394E-2</c:v>
                </c:pt>
                <c:pt idx="44">
                  <c:v>4.1705670601307483E-2</c:v>
                </c:pt>
                <c:pt idx="45">
                  <c:v>4.3149780412149508E-2</c:v>
                </c:pt>
                <c:pt idx="46">
                  <c:v>4.495894884275202E-2</c:v>
                </c:pt>
                <c:pt idx="47">
                  <c:v>4.5151779443205232E-2</c:v>
                </c:pt>
                <c:pt idx="48">
                  <c:v>4.612531870509156E-2</c:v>
                </c:pt>
                <c:pt idx="49">
                  <c:v>4.6767452339149487E-2</c:v>
                </c:pt>
                <c:pt idx="50">
                  <c:v>4.5045394885017749E-2</c:v>
                </c:pt>
                <c:pt idx="51">
                  <c:v>4.6564778681260584E-2</c:v>
                </c:pt>
                <c:pt idx="52">
                  <c:v>4.5485330788412402E-2</c:v>
                </c:pt>
                <c:pt idx="53">
                  <c:v>4.8776977266730109E-2</c:v>
                </c:pt>
                <c:pt idx="54">
                  <c:v>4.7908352049637254E-2</c:v>
                </c:pt>
                <c:pt idx="55">
                  <c:v>4.5802764379230677E-2</c:v>
                </c:pt>
                <c:pt idx="56">
                  <c:v>4.6122309531943975E-2</c:v>
                </c:pt>
                <c:pt idx="57">
                  <c:v>4.3645052747931533E-2</c:v>
                </c:pt>
                <c:pt idx="58">
                  <c:v>4.2313576148162613E-2</c:v>
                </c:pt>
                <c:pt idx="59">
                  <c:v>4.5092599412404961E-2</c:v>
                </c:pt>
                <c:pt idx="60">
                  <c:v>4.5562503029421747E-2</c:v>
                </c:pt>
                <c:pt idx="61">
                  <c:v>4.5737507184431439E-2</c:v>
                </c:pt>
                <c:pt idx="62">
                  <c:v>4.3142745506642356E-2</c:v>
                </c:pt>
                <c:pt idx="63">
                  <c:v>4.3364135309267748E-2</c:v>
                </c:pt>
                <c:pt idx="64">
                  <c:v>4.5148403710918161E-2</c:v>
                </c:pt>
                <c:pt idx="65">
                  <c:v>4.5381035677745138E-2</c:v>
                </c:pt>
                <c:pt idx="66">
                  <c:v>4.8116738993606523E-2</c:v>
                </c:pt>
                <c:pt idx="67">
                  <c:v>4.8843997744385838E-2</c:v>
                </c:pt>
                <c:pt idx="68">
                  <c:v>4.9417110259854402E-2</c:v>
                </c:pt>
                <c:pt idx="69">
                  <c:v>5.0172233038789878E-2</c:v>
                </c:pt>
                <c:pt idx="70">
                  <c:v>5.0616709332092155E-2</c:v>
                </c:pt>
                <c:pt idx="71">
                  <c:v>4.7847680751018522E-2</c:v>
                </c:pt>
                <c:pt idx="72">
                  <c:v>5.1525492448558974E-2</c:v>
                </c:pt>
                <c:pt idx="73">
                  <c:v>5.0257178694997011E-2</c:v>
                </c:pt>
                <c:pt idx="74">
                  <c:v>4.8805158679984827E-2</c:v>
                </c:pt>
                <c:pt idx="75">
                  <c:v>4.8609052800948474E-2</c:v>
                </c:pt>
                <c:pt idx="76">
                  <c:v>5.1939496820289345E-2</c:v>
                </c:pt>
                <c:pt idx="77">
                  <c:v>5.2910495868460493E-2</c:v>
                </c:pt>
                <c:pt idx="78">
                  <c:v>5.5759736928420643E-2</c:v>
                </c:pt>
                <c:pt idx="79">
                  <c:v>5.5791398895917575E-2</c:v>
                </c:pt>
                <c:pt idx="80">
                  <c:v>5.7744107744107737E-2</c:v>
                </c:pt>
                <c:pt idx="81">
                  <c:v>5.7090989294379127E-2</c:v>
                </c:pt>
                <c:pt idx="82">
                  <c:v>5.9323998317293243E-2</c:v>
                </c:pt>
                <c:pt idx="83">
                  <c:v>6.0263200817244546E-2</c:v>
                </c:pt>
                <c:pt idx="84">
                  <c:v>5.965479301334068E-2</c:v>
                </c:pt>
                <c:pt idx="85">
                  <c:v>5.9756496581652864E-2</c:v>
                </c:pt>
                <c:pt idx="86">
                  <c:v>5.9369138373113521E-2</c:v>
                </c:pt>
                <c:pt idx="87">
                  <c:v>6.3248972528661032E-2</c:v>
                </c:pt>
                <c:pt idx="88">
                  <c:v>5.8594251938150523E-2</c:v>
                </c:pt>
                <c:pt idx="89">
                  <c:v>5.9266460299999144E-2</c:v>
                </c:pt>
                <c:pt idx="90">
                  <c:v>5.6440078450852603E-2</c:v>
                </c:pt>
                <c:pt idx="91">
                  <c:v>5.7552105669439906E-2</c:v>
                </c:pt>
                <c:pt idx="92">
                  <c:v>5.6783092019488099E-2</c:v>
                </c:pt>
                <c:pt idx="93">
                  <c:v>5.7717211392502764E-2</c:v>
                </c:pt>
                <c:pt idx="94">
                  <c:v>5.9189897341179507E-2</c:v>
                </c:pt>
                <c:pt idx="95">
                  <c:v>6.156862407883535E-2</c:v>
                </c:pt>
                <c:pt idx="96">
                  <c:v>6.0694113702598834E-2</c:v>
                </c:pt>
                <c:pt idx="97">
                  <c:v>6.2628327935327022E-2</c:v>
                </c:pt>
                <c:pt idx="98">
                  <c:v>5.8409709755280495E-2</c:v>
                </c:pt>
                <c:pt idx="99">
                  <c:v>5.9155848615976378E-2</c:v>
                </c:pt>
                <c:pt idx="100">
                  <c:v>6.1148947499506182E-2</c:v>
                </c:pt>
                <c:pt idx="101">
                  <c:v>6.2656103820305731E-2</c:v>
                </c:pt>
                <c:pt idx="102">
                  <c:v>6.372868562802346E-2</c:v>
                </c:pt>
                <c:pt idx="103">
                  <c:v>6.393487763742127E-2</c:v>
                </c:pt>
                <c:pt idx="104">
                  <c:v>6.1602344477576225E-2</c:v>
                </c:pt>
                <c:pt idx="105">
                  <c:v>6.1602344477576225E-2</c:v>
                </c:pt>
                <c:pt idx="106">
                  <c:v>6.4157326407873153E-2</c:v>
                </c:pt>
                <c:pt idx="107">
                  <c:v>6.6018157128338265E-2</c:v>
                </c:pt>
                <c:pt idx="108">
                  <c:v>6.6496119624107425E-2</c:v>
                </c:pt>
                <c:pt idx="109">
                  <c:v>6.6333992945022791E-2</c:v>
                </c:pt>
                <c:pt idx="110">
                  <c:v>6.828926632813867E-2</c:v>
                </c:pt>
                <c:pt idx="111">
                  <c:v>6.6920676455767825E-2</c:v>
                </c:pt>
                <c:pt idx="112">
                  <c:v>7.0985307897668007E-2</c:v>
                </c:pt>
                <c:pt idx="113">
                  <c:v>7.334579047552521E-2</c:v>
                </c:pt>
                <c:pt idx="114">
                  <c:v>7.316385977987222E-2</c:v>
                </c:pt>
                <c:pt idx="115">
                  <c:v>6.7842099377492832E-2</c:v>
                </c:pt>
                <c:pt idx="116">
                  <c:v>6.8984417081675659E-2</c:v>
                </c:pt>
                <c:pt idx="117">
                  <c:v>6.9300003781719161E-2</c:v>
                </c:pt>
                <c:pt idx="118">
                  <c:v>6.9117036925281941E-2</c:v>
                </c:pt>
                <c:pt idx="119">
                  <c:v>7.1284939626992977E-2</c:v>
                </c:pt>
                <c:pt idx="120">
                  <c:v>7.2713064526888582E-2</c:v>
                </c:pt>
                <c:pt idx="121">
                  <c:v>7.4753332831211869E-2</c:v>
                </c:pt>
                <c:pt idx="122">
                  <c:v>7.6277012839808978E-2</c:v>
                </c:pt>
                <c:pt idx="123">
                  <c:v>7.7534514014781758E-2</c:v>
                </c:pt>
                <c:pt idx="124">
                  <c:v>7.3814892084311759E-2</c:v>
                </c:pt>
                <c:pt idx="125">
                  <c:v>6.9439280136833495E-2</c:v>
                </c:pt>
                <c:pt idx="126">
                  <c:v>6.6037297121331898E-2</c:v>
                </c:pt>
                <c:pt idx="127">
                  <c:v>6.5605196303775329E-2</c:v>
                </c:pt>
                <c:pt idx="128">
                  <c:v>6.9601903133479553E-2</c:v>
                </c:pt>
                <c:pt idx="129">
                  <c:v>6.8857996622060547E-2</c:v>
                </c:pt>
                <c:pt idx="130">
                  <c:v>7.1362458348759705E-2</c:v>
                </c:pt>
                <c:pt idx="131">
                  <c:v>6.8029102368043007E-2</c:v>
                </c:pt>
                <c:pt idx="132">
                  <c:v>6.3543159109093278E-2</c:v>
                </c:pt>
                <c:pt idx="133">
                  <c:v>5.9807277327182086E-2</c:v>
                </c:pt>
                <c:pt idx="134">
                  <c:v>6.1495228189266622E-2</c:v>
                </c:pt>
                <c:pt idx="135">
                  <c:v>5.8150576531765766E-2</c:v>
                </c:pt>
                <c:pt idx="136">
                  <c:v>5.3429190712775736E-2</c:v>
                </c:pt>
                <c:pt idx="137">
                  <c:v>5.1849875489149759E-2</c:v>
                </c:pt>
                <c:pt idx="138">
                  <c:v>5.1094825985873782E-2</c:v>
                </c:pt>
                <c:pt idx="139">
                  <c:v>4.990267209343479E-2</c:v>
                </c:pt>
                <c:pt idx="140">
                  <c:v>5.0440584864303382E-2</c:v>
                </c:pt>
                <c:pt idx="141">
                  <c:v>4.7133168658188514E-2</c:v>
                </c:pt>
                <c:pt idx="142">
                  <c:v>4.7507585609016037E-2</c:v>
                </c:pt>
                <c:pt idx="143">
                  <c:v>4.9064730708442611E-2</c:v>
                </c:pt>
                <c:pt idx="144">
                  <c:v>4.7811406684872222E-2</c:v>
                </c:pt>
                <c:pt idx="145">
                  <c:v>4.5958319339614299E-2</c:v>
                </c:pt>
                <c:pt idx="146">
                  <c:v>4.6032750017569755E-2</c:v>
                </c:pt>
                <c:pt idx="147">
                  <c:v>4.5862693071394685E-2</c:v>
                </c:pt>
                <c:pt idx="148">
                  <c:v>4.5583593433141126E-2</c:v>
                </c:pt>
                <c:pt idx="149">
                  <c:v>4.562930785332061E-2</c:v>
                </c:pt>
                <c:pt idx="150">
                  <c:v>4.4051724137931035E-2</c:v>
                </c:pt>
                <c:pt idx="151">
                  <c:v>4.3632045026205046E-2</c:v>
                </c:pt>
                <c:pt idx="152">
                  <c:v>4.5009767894179709E-2</c:v>
                </c:pt>
                <c:pt idx="153">
                  <c:v>4.4952093911345907E-2</c:v>
                </c:pt>
                <c:pt idx="154">
                  <c:v>4.5727104093869979E-2</c:v>
                </c:pt>
                <c:pt idx="155">
                  <c:v>4.5705415660572617E-2</c:v>
                </c:pt>
                <c:pt idx="156">
                  <c:v>4.5176697790307696E-2</c:v>
                </c:pt>
                <c:pt idx="157">
                  <c:v>4.6933529840075087E-2</c:v>
                </c:pt>
                <c:pt idx="158">
                  <c:v>4.7557436094695239E-2</c:v>
                </c:pt>
                <c:pt idx="159">
                  <c:v>4.855309999647528E-2</c:v>
                </c:pt>
                <c:pt idx="160">
                  <c:v>4.7498692696531286E-2</c:v>
                </c:pt>
                <c:pt idx="161">
                  <c:v>4.6599517759118969E-2</c:v>
                </c:pt>
                <c:pt idx="162">
                  <c:v>4.6112138640452001E-2</c:v>
                </c:pt>
                <c:pt idx="163">
                  <c:v>4.648342764753436E-2</c:v>
                </c:pt>
                <c:pt idx="164">
                  <c:v>4.5899273331431352E-2</c:v>
                </c:pt>
                <c:pt idx="165">
                  <c:v>4.5299831885450226E-2</c:v>
                </c:pt>
                <c:pt idx="166">
                  <c:v>4.5325268222315113E-2</c:v>
                </c:pt>
                <c:pt idx="167">
                  <c:v>4.6007094475033539E-2</c:v>
                </c:pt>
                <c:pt idx="168">
                  <c:v>4.7691989236182987E-2</c:v>
                </c:pt>
                <c:pt idx="169">
                  <c:v>4.6905322267641103E-2</c:v>
                </c:pt>
                <c:pt idx="170">
                  <c:v>4.5545094603195599E-2</c:v>
                </c:pt>
                <c:pt idx="171">
                  <c:v>4.575212331445018E-2</c:v>
                </c:pt>
                <c:pt idx="172">
                  <c:v>4.4663240824526593E-2</c:v>
                </c:pt>
                <c:pt idx="173">
                  <c:v>4.5579535038746774E-2</c:v>
                </c:pt>
                <c:pt idx="174">
                  <c:v>4.6253777948469618E-2</c:v>
                </c:pt>
                <c:pt idx="175">
                  <c:v>4.5163749668522934E-2</c:v>
                </c:pt>
                <c:pt idx="176">
                  <c:v>4.5220915291094198E-2</c:v>
                </c:pt>
                <c:pt idx="177">
                  <c:v>4.5734215115322607E-2</c:v>
                </c:pt>
                <c:pt idx="178">
                  <c:v>4.6391038131965788E-2</c:v>
                </c:pt>
                <c:pt idx="179">
                  <c:v>4.5502952851195662E-2</c:v>
                </c:pt>
                <c:pt idx="180">
                  <c:v>4.5603823892826946E-2</c:v>
                </c:pt>
                <c:pt idx="181">
                  <c:v>4.2748935340203506E-2</c:v>
                </c:pt>
                <c:pt idx="182">
                  <c:v>4.3949054973010875E-2</c:v>
                </c:pt>
                <c:pt idx="183">
                  <c:v>4.3332502592714678E-2</c:v>
                </c:pt>
                <c:pt idx="184">
                  <c:v>4.4088908660491574E-2</c:v>
                </c:pt>
                <c:pt idx="185">
                  <c:v>4.344293036629579E-2</c:v>
                </c:pt>
                <c:pt idx="186">
                  <c:v>4.2488759791727823E-2</c:v>
                </c:pt>
                <c:pt idx="187">
                  <c:v>4.4124170239920317E-2</c:v>
                </c:pt>
                <c:pt idx="188">
                  <c:v>4.4454514203568857E-2</c:v>
                </c:pt>
                <c:pt idx="189">
                  <c:v>4.3812385454602663E-2</c:v>
                </c:pt>
                <c:pt idx="190">
                  <c:v>4.242740935430786E-2</c:v>
                </c:pt>
                <c:pt idx="191">
                  <c:v>4.2062214758317201E-2</c:v>
                </c:pt>
                <c:pt idx="192">
                  <c:v>4.2926450611294388E-2</c:v>
                </c:pt>
                <c:pt idx="193">
                  <c:v>4.3346066890153578E-2</c:v>
                </c:pt>
                <c:pt idx="194">
                  <c:v>4.2860593969904069E-2</c:v>
                </c:pt>
                <c:pt idx="195">
                  <c:v>4.3197213083026896E-2</c:v>
                </c:pt>
                <c:pt idx="196">
                  <c:v>4.4649096923483095E-2</c:v>
                </c:pt>
                <c:pt idx="197">
                  <c:v>4.557786218122626E-2</c:v>
                </c:pt>
                <c:pt idx="198">
                  <c:v>4.5935304562649583E-2</c:v>
                </c:pt>
                <c:pt idx="199">
                  <c:v>4.6622421074901464E-2</c:v>
                </c:pt>
                <c:pt idx="200">
                  <c:v>4.6500264026922866E-2</c:v>
                </c:pt>
                <c:pt idx="201">
                  <c:v>4.7230233636413647E-2</c:v>
                </c:pt>
                <c:pt idx="202">
                  <c:v>4.7572702145053922E-2</c:v>
                </c:pt>
                <c:pt idx="203">
                  <c:v>4.6138322536914508E-2</c:v>
                </c:pt>
                <c:pt idx="204">
                  <c:v>4.326757983898661E-2</c:v>
                </c:pt>
                <c:pt idx="205">
                  <c:v>4.1142685536243846E-2</c:v>
                </c:pt>
                <c:pt idx="206">
                  <c:v>4.145465429512122E-2</c:v>
                </c:pt>
                <c:pt idx="207">
                  <c:v>3.8778982088864794E-2</c:v>
                </c:pt>
                <c:pt idx="208">
                  <c:v>4.2052712062606822E-2</c:v>
                </c:pt>
                <c:pt idx="209">
                  <c:v>4.3841432461119566E-2</c:v>
                </c:pt>
                <c:pt idx="210">
                  <c:v>4.4149598323707025E-2</c:v>
                </c:pt>
                <c:pt idx="211">
                  <c:v>4.2430695216688352E-2</c:v>
                </c:pt>
                <c:pt idx="212">
                  <c:v>4.3036627409241308E-2</c:v>
                </c:pt>
                <c:pt idx="213">
                  <c:v>4.4666137626119484E-2</c:v>
                </c:pt>
                <c:pt idx="214">
                  <c:v>4.4268703527240258E-2</c:v>
                </c:pt>
                <c:pt idx="215">
                  <c:v>4.4635180297717403E-2</c:v>
                </c:pt>
                <c:pt idx="216">
                  <c:v>4.6265547639174009E-2</c:v>
                </c:pt>
                <c:pt idx="217">
                  <c:v>4.5898737784710923E-2</c:v>
                </c:pt>
                <c:pt idx="218">
                  <c:v>4.4454456709469098E-2</c:v>
                </c:pt>
                <c:pt idx="219">
                  <c:v>4.4476883424948113E-2</c:v>
                </c:pt>
                <c:pt idx="220">
                  <c:v>4.5538461538461542E-2</c:v>
                </c:pt>
                <c:pt idx="221">
                  <c:v>4.6288332525372573E-2</c:v>
                </c:pt>
                <c:pt idx="222">
                  <c:v>4.5122902549826392E-2</c:v>
                </c:pt>
                <c:pt idx="223">
                  <c:v>4.4414003474036519E-2</c:v>
                </c:pt>
                <c:pt idx="224">
                  <c:v>4.517825458017715E-2</c:v>
                </c:pt>
                <c:pt idx="225">
                  <c:v>4.6029083992188122E-2</c:v>
                </c:pt>
                <c:pt idx="226">
                  <c:v>4.5210042830566899E-2</c:v>
                </c:pt>
                <c:pt idx="227">
                  <c:v>4.3115796711167137E-2</c:v>
                </c:pt>
                <c:pt idx="228">
                  <c:v>4.270319844090336E-2</c:v>
                </c:pt>
                <c:pt idx="229">
                  <c:v>4.2893309222423147E-2</c:v>
                </c:pt>
                <c:pt idx="230">
                  <c:v>4.2563319938955235E-2</c:v>
                </c:pt>
                <c:pt idx="231">
                  <c:v>4.2037919052236007E-2</c:v>
                </c:pt>
                <c:pt idx="232">
                  <c:v>4.5401940710406839E-2</c:v>
                </c:pt>
                <c:pt idx="233">
                  <c:v>4.6923331030961891E-2</c:v>
                </c:pt>
                <c:pt idx="234">
                  <c:v>4.4214903950815607E-2</c:v>
                </c:pt>
                <c:pt idx="235">
                  <c:v>4.438536581639279E-2</c:v>
                </c:pt>
                <c:pt idx="236">
                  <c:v>4.4007967758373095E-2</c:v>
                </c:pt>
                <c:pt idx="237">
                  <c:v>4.584671183300492E-2</c:v>
                </c:pt>
                <c:pt idx="238">
                  <c:v>4.6969465832724468E-2</c:v>
                </c:pt>
                <c:pt idx="239">
                  <c:v>4.8849466512405189E-2</c:v>
                </c:pt>
                <c:pt idx="240">
                  <c:v>4.9875110788816374E-2</c:v>
                </c:pt>
                <c:pt idx="241">
                  <c:v>4.6679281279809845E-2</c:v>
                </c:pt>
                <c:pt idx="242">
                  <c:v>4.5686474605542038E-2</c:v>
                </c:pt>
                <c:pt idx="243">
                  <c:v>4.7932234820804158E-2</c:v>
                </c:pt>
                <c:pt idx="244">
                  <c:v>4.3748489078474347E-2</c:v>
                </c:pt>
                <c:pt idx="245">
                  <c:v>4.21380335060259E-2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E8-46F5-A861-29D6F2ABE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0860288"/>
        <c:axId val="77085862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'1) Estadística'!$B$9</c15:sqref>
                        </c15:formulaRef>
                      </c:ext>
                    </c:extLst>
                    <c:strCache>
                      <c:ptCount val="1"/>
                      <c:pt idx="0">
                        <c:v>AGRO $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'1) Estadística'!$A$10:$A$255</c15:sqref>
                        </c15:formulaRef>
                      </c:ext>
                    </c:extLst>
                    <c:numCache>
                      <c:formatCode>[$-C0A]mmm\-yy;@</c:formatCode>
                      <c:ptCount val="246"/>
                      <c:pt idx="0">
                        <c:v>45814</c:v>
                      </c:pt>
                      <c:pt idx="1">
                        <c:v>45813</c:v>
                      </c:pt>
                      <c:pt idx="2">
                        <c:v>45812</c:v>
                      </c:pt>
                      <c:pt idx="3">
                        <c:v>45811</c:v>
                      </c:pt>
                      <c:pt idx="4">
                        <c:v>45810</c:v>
                      </c:pt>
                      <c:pt idx="5">
                        <c:v>45807</c:v>
                      </c:pt>
                      <c:pt idx="6">
                        <c:v>45806</c:v>
                      </c:pt>
                      <c:pt idx="7">
                        <c:v>45805</c:v>
                      </c:pt>
                      <c:pt idx="8">
                        <c:v>45804</c:v>
                      </c:pt>
                      <c:pt idx="9">
                        <c:v>45803</c:v>
                      </c:pt>
                      <c:pt idx="10">
                        <c:v>45800</c:v>
                      </c:pt>
                      <c:pt idx="11">
                        <c:v>45799</c:v>
                      </c:pt>
                      <c:pt idx="12">
                        <c:v>45798</c:v>
                      </c:pt>
                      <c:pt idx="13">
                        <c:v>45797</c:v>
                      </c:pt>
                      <c:pt idx="14">
                        <c:v>45796</c:v>
                      </c:pt>
                      <c:pt idx="15">
                        <c:v>45793</c:v>
                      </c:pt>
                      <c:pt idx="16">
                        <c:v>45792</c:v>
                      </c:pt>
                      <c:pt idx="17">
                        <c:v>45791</c:v>
                      </c:pt>
                      <c:pt idx="18">
                        <c:v>45790</c:v>
                      </c:pt>
                      <c:pt idx="19">
                        <c:v>45789</c:v>
                      </c:pt>
                      <c:pt idx="20">
                        <c:v>45786</c:v>
                      </c:pt>
                      <c:pt idx="21">
                        <c:v>45785</c:v>
                      </c:pt>
                      <c:pt idx="22">
                        <c:v>45784</c:v>
                      </c:pt>
                      <c:pt idx="23">
                        <c:v>45783</c:v>
                      </c:pt>
                      <c:pt idx="24">
                        <c:v>45782</c:v>
                      </c:pt>
                      <c:pt idx="25">
                        <c:v>45777</c:v>
                      </c:pt>
                      <c:pt idx="26">
                        <c:v>45776</c:v>
                      </c:pt>
                      <c:pt idx="27">
                        <c:v>45775</c:v>
                      </c:pt>
                      <c:pt idx="28">
                        <c:v>45772</c:v>
                      </c:pt>
                      <c:pt idx="29">
                        <c:v>45771</c:v>
                      </c:pt>
                      <c:pt idx="30">
                        <c:v>45770</c:v>
                      </c:pt>
                      <c:pt idx="31">
                        <c:v>45769</c:v>
                      </c:pt>
                      <c:pt idx="32">
                        <c:v>45768</c:v>
                      </c:pt>
                      <c:pt idx="33">
                        <c:v>45763</c:v>
                      </c:pt>
                      <c:pt idx="34">
                        <c:v>45762</c:v>
                      </c:pt>
                      <c:pt idx="35">
                        <c:v>45761</c:v>
                      </c:pt>
                      <c:pt idx="36">
                        <c:v>45758</c:v>
                      </c:pt>
                      <c:pt idx="37">
                        <c:v>45757</c:v>
                      </c:pt>
                      <c:pt idx="38">
                        <c:v>45756</c:v>
                      </c:pt>
                      <c:pt idx="39">
                        <c:v>45755</c:v>
                      </c:pt>
                      <c:pt idx="40">
                        <c:v>45754</c:v>
                      </c:pt>
                      <c:pt idx="41">
                        <c:v>45751</c:v>
                      </c:pt>
                      <c:pt idx="42">
                        <c:v>45750</c:v>
                      </c:pt>
                      <c:pt idx="43">
                        <c:v>45748</c:v>
                      </c:pt>
                      <c:pt idx="44">
                        <c:v>45747</c:v>
                      </c:pt>
                      <c:pt idx="45">
                        <c:v>45744</c:v>
                      </c:pt>
                      <c:pt idx="46">
                        <c:v>45743</c:v>
                      </c:pt>
                      <c:pt idx="47">
                        <c:v>45742</c:v>
                      </c:pt>
                      <c:pt idx="48">
                        <c:v>45741</c:v>
                      </c:pt>
                      <c:pt idx="49">
                        <c:v>45737</c:v>
                      </c:pt>
                      <c:pt idx="50">
                        <c:v>45736</c:v>
                      </c:pt>
                      <c:pt idx="51">
                        <c:v>45735</c:v>
                      </c:pt>
                      <c:pt idx="52">
                        <c:v>45734</c:v>
                      </c:pt>
                      <c:pt idx="53">
                        <c:v>45733</c:v>
                      </c:pt>
                      <c:pt idx="54">
                        <c:v>45730</c:v>
                      </c:pt>
                      <c:pt idx="55">
                        <c:v>45729</c:v>
                      </c:pt>
                      <c:pt idx="56">
                        <c:v>45728</c:v>
                      </c:pt>
                      <c:pt idx="57">
                        <c:v>45727</c:v>
                      </c:pt>
                      <c:pt idx="58">
                        <c:v>45726</c:v>
                      </c:pt>
                      <c:pt idx="59">
                        <c:v>45723</c:v>
                      </c:pt>
                      <c:pt idx="60">
                        <c:v>45722</c:v>
                      </c:pt>
                      <c:pt idx="61">
                        <c:v>45721</c:v>
                      </c:pt>
                      <c:pt idx="62">
                        <c:v>45716</c:v>
                      </c:pt>
                      <c:pt idx="63">
                        <c:v>45715</c:v>
                      </c:pt>
                      <c:pt idx="64">
                        <c:v>45714</c:v>
                      </c:pt>
                      <c:pt idx="65">
                        <c:v>45713</c:v>
                      </c:pt>
                      <c:pt idx="66">
                        <c:v>45712</c:v>
                      </c:pt>
                      <c:pt idx="67">
                        <c:v>45709</c:v>
                      </c:pt>
                      <c:pt idx="68">
                        <c:v>45708</c:v>
                      </c:pt>
                      <c:pt idx="69">
                        <c:v>45707</c:v>
                      </c:pt>
                      <c:pt idx="70">
                        <c:v>45706</c:v>
                      </c:pt>
                      <c:pt idx="71">
                        <c:v>45705</c:v>
                      </c:pt>
                      <c:pt idx="72">
                        <c:v>45702</c:v>
                      </c:pt>
                      <c:pt idx="73">
                        <c:v>45701</c:v>
                      </c:pt>
                      <c:pt idx="74">
                        <c:v>45700</c:v>
                      </c:pt>
                      <c:pt idx="75">
                        <c:v>45699</c:v>
                      </c:pt>
                      <c:pt idx="76">
                        <c:v>45698</c:v>
                      </c:pt>
                      <c:pt idx="77">
                        <c:v>45695</c:v>
                      </c:pt>
                      <c:pt idx="78">
                        <c:v>45694</c:v>
                      </c:pt>
                      <c:pt idx="79">
                        <c:v>45693</c:v>
                      </c:pt>
                      <c:pt idx="80">
                        <c:v>45692</c:v>
                      </c:pt>
                      <c:pt idx="81">
                        <c:v>45691</c:v>
                      </c:pt>
                      <c:pt idx="82">
                        <c:v>45688</c:v>
                      </c:pt>
                      <c:pt idx="83">
                        <c:v>45687</c:v>
                      </c:pt>
                      <c:pt idx="84">
                        <c:v>45686</c:v>
                      </c:pt>
                      <c:pt idx="85">
                        <c:v>45685</c:v>
                      </c:pt>
                      <c:pt idx="86">
                        <c:v>45684</c:v>
                      </c:pt>
                      <c:pt idx="87">
                        <c:v>45681</c:v>
                      </c:pt>
                      <c:pt idx="88">
                        <c:v>45680</c:v>
                      </c:pt>
                      <c:pt idx="89">
                        <c:v>45679</c:v>
                      </c:pt>
                      <c:pt idx="90">
                        <c:v>45678</c:v>
                      </c:pt>
                      <c:pt idx="91">
                        <c:v>45677</c:v>
                      </c:pt>
                      <c:pt idx="92">
                        <c:v>45674</c:v>
                      </c:pt>
                      <c:pt idx="93">
                        <c:v>45673</c:v>
                      </c:pt>
                      <c:pt idx="94">
                        <c:v>45672</c:v>
                      </c:pt>
                      <c:pt idx="95">
                        <c:v>45671</c:v>
                      </c:pt>
                      <c:pt idx="96">
                        <c:v>45670</c:v>
                      </c:pt>
                      <c:pt idx="97">
                        <c:v>45667</c:v>
                      </c:pt>
                      <c:pt idx="98">
                        <c:v>45666</c:v>
                      </c:pt>
                      <c:pt idx="99">
                        <c:v>45665</c:v>
                      </c:pt>
                      <c:pt idx="100">
                        <c:v>45664</c:v>
                      </c:pt>
                      <c:pt idx="101">
                        <c:v>45663</c:v>
                      </c:pt>
                      <c:pt idx="102">
                        <c:v>45660</c:v>
                      </c:pt>
                      <c:pt idx="103">
                        <c:v>45659</c:v>
                      </c:pt>
                      <c:pt idx="104">
                        <c:v>45657</c:v>
                      </c:pt>
                      <c:pt idx="105">
                        <c:v>45656</c:v>
                      </c:pt>
                      <c:pt idx="106">
                        <c:v>45653</c:v>
                      </c:pt>
                      <c:pt idx="107">
                        <c:v>45652</c:v>
                      </c:pt>
                      <c:pt idx="108">
                        <c:v>45650</c:v>
                      </c:pt>
                      <c:pt idx="109">
                        <c:v>45649</c:v>
                      </c:pt>
                      <c:pt idx="110">
                        <c:v>45646</c:v>
                      </c:pt>
                      <c:pt idx="111">
                        <c:v>45645</c:v>
                      </c:pt>
                      <c:pt idx="112">
                        <c:v>45644</c:v>
                      </c:pt>
                      <c:pt idx="113">
                        <c:v>45643</c:v>
                      </c:pt>
                      <c:pt idx="114">
                        <c:v>45642</c:v>
                      </c:pt>
                      <c:pt idx="115">
                        <c:v>45639</c:v>
                      </c:pt>
                      <c:pt idx="116">
                        <c:v>45638</c:v>
                      </c:pt>
                      <c:pt idx="117">
                        <c:v>45637</c:v>
                      </c:pt>
                      <c:pt idx="118">
                        <c:v>45636</c:v>
                      </c:pt>
                      <c:pt idx="119">
                        <c:v>45635</c:v>
                      </c:pt>
                      <c:pt idx="120">
                        <c:v>45632</c:v>
                      </c:pt>
                      <c:pt idx="121">
                        <c:v>45631</c:v>
                      </c:pt>
                      <c:pt idx="122">
                        <c:v>45630</c:v>
                      </c:pt>
                      <c:pt idx="123">
                        <c:v>45629</c:v>
                      </c:pt>
                      <c:pt idx="124">
                        <c:v>45628</c:v>
                      </c:pt>
                      <c:pt idx="125">
                        <c:v>45625</c:v>
                      </c:pt>
                      <c:pt idx="126">
                        <c:v>45624</c:v>
                      </c:pt>
                      <c:pt idx="127">
                        <c:v>45623</c:v>
                      </c:pt>
                      <c:pt idx="128">
                        <c:v>45622</c:v>
                      </c:pt>
                      <c:pt idx="129">
                        <c:v>45621</c:v>
                      </c:pt>
                      <c:pt idx="130">
                        <c:v>45618</c:v>
                      </c:pt>
                      <c:pt idx="131">
                        <c:v>45617</c:v>
                      </c:pt>
                      <c:pt idx="132">
                        <c:v>45616</c:v>
                      </c:pt>
                      <c:pt idx="133">
                        <c:v>45615</c:v>
                      </c:pt>
                      <c:pt idx="134">
                        <c:v>45611</c:v>
                      </c:pt>
                      <c:pt idx="135">
                        <c:v>45610</c:v>
                      </c:pt>
                      <c:pt idx="136">
                        <c:v>45609</c:v>
                      </c:pt>
                      <c:pt idx="137">
                        <c:v>45608</c:v>
                      </c:pt>
                      <c:pt idx="138">
                        <c:v>45607</c:v>
                      </c:pt>
                      <c:pt idx="139">
                        <c:v>45604</c:v>
                      </c:pt>
                      <c:pt idx="140">
                        <c:v>45603</c:v>
                      </c:pt>
                      <c:pt idx="141">
                        <c:v>45602</c:v>
                      </c:pt>
                      <c:pt idx="142">
                        <c:v>45601</c:v>
                      </c:pt>
                      <c:pt idx="143">
                        <c:v>45600</c:v>
                      </c:pt>
                      <c:pt idx="144">
                        <c:v>45597</c:v>
                      </c:pt>
                      <c:pt idx="145">
                        <c:v>45596</c:v>
                      </c:pt>
                      <c:pt idx="146">
                        <c:v>45595</c:v>
                      </c:pt>
                      <c:pt idx="147">
                        <c:v>45594</c:v>
                      </c:pt>
                      <c:pt idx="148">
                        <c:v>45593</c:v>
                      </c:pt>
                      <c:pt idx="149">
                        <c:v>45590</c:v>
                      </c:pt>
                      <c:pt idx="150">
                        <c:v>45589</c:v>
                      </c:pt>
                      <c:pt idx="151">
                        <c:v>45588</c:v>
                      </c:pt>
                      <c:pt idx="152">
                        <c:v>45587</c:v>
                      </c:pt>
                      <c:pt idx="153">
                        <c:v>45586</c:v>
                      </c:pt>
                      <c:pt idx="154">
                        <c:v>45583</c:v>
                      </c:pt>
                      <c:pt idx="155">
                        <c:v>45582</c:v>
                      </c:pt>
                      <c:pt idx="156">
                        <c:v>45581</c:v>
                      </c:pt>
                      <c:pt idx="157">
                        <c:v>45580</c:v>
                      </c:pt>
                      <c:pt idx="158">
                        <c:v>45579</c:v>
                      </c:pt>
                      <c:pt idx="159">
                        <c:v>45575</c:v>
                      </c:pt>
                      <c:pt idx="160">
                        <c:v>45574</c:v>
                      </c:pt>
                      <c:pt idx="161">
                        <c:v>45573</c:v>
                      </c:pt>
                      <c:pt idx="162">
                        <c:v>45572</c:v>
                      </c:pt>
                      <c:pt idx="163">
                        <c:v>45569</c:v>
                      </c:pt>
                      <c:pt idx="164">
                        <c:v>45568</c:v>
                      </c:pt>
                      <c:pt idx="165">
                        <c:v>45567</c:v>
                      </c:pt>
                      <c:pt idx="166">
                        <c:v>45566</c:v>
                      </c:pt>
                      <c:pt idx="167">
                        <c:v>45565</c:v>
                      </c:pt>
                      <c:pt idx="168">
                        <c:v>45562</c:v>
                      </c:pt>
                      <c:pt idx="169">
                        <c:v>45561</c:v>
                      </c:pt>
                      <c:pt idx="170">
                        <c:v>45560</c:v>
                      </c:pt>
                      <c:pt idx="171">
                        <c:v>45559</c:v>
                      </c:pt>
                      <c:pt idx="172">
                        <c:v>45558</c:v>
                      </c:pt>
                      <c:pt idx="173">
                        <c:v>45555</c:v>
                      </c:pt>
                      <c:pt idx="174">
                        <c:v>45554</c:v>
                      </c:pt>
                      <c:pt idx="175">
                        <c:v>45553</c:v>
                      </c:pt>
                      <c:pt idx="176">
                        <c:v>45552</c:v>
                      </c:pt>
                      <c:pt idx="177">
                        <c:v>45551</c:v>
                      </c:pt>
                      <c:pt idx="178">
                        <c:v>45548</c:v>
                      </c:pt>
                      <c:pt idx="179">
                        <c:v>45547</c:v>
                      </c:pt>
                      <c:pt idx="180">
                        <c:v>45546</c:v>
                      </c:pt>
                      <c:pt idx="181">
                        <c:v>45545</c:v>
                      </c:pt>
                      <c:pt idx="182">
                        <c:v>45544</c:v>
                      </c:pt>
                      <c:pt idx="183">
                        <c:v>45541</c:v>
                      </c:pt>
                      <c:pt idx="184">
                        <c:v>45540</c:v>
                      </c:pt>
                      <c:pt idx="185">
                        <c:v>45539</c:v>
                      </c:pt>
                      <c:pt idx="186">
                        <c:v>45538</c:v>
                      </c:pt>
                      <c:pt idx="187">
                        <c:v>45537</c:v>
                      </c:pt>
                      <c:pt idx="188">
                        <c:v>45534</c:v>
                      </c:pt>
                      <c:pt idx="189">
                        <c:v>45533</c:v>
                      </c:pt>
                      <c:pt idx="190">
                        <c:v>45532</c:v>
                      </c:pt>
                      <c:pt idx="191">
                        <c:v>45531</c:v>
                      </c:pt>
                      <c:pt idx="192">
                        <c:v>45530</c:v>
                      </c:pt>
                      <c:pt idx="193">
                        <c:v>45527</c:v>
                      </c:pt>
                      <c:pt idx="194">
                        <c:v>45526</c:v>
                      </c:pt>
                      <c:pt idx="195">
                        <c:v>45525</c:v>
                      </c:pt>
                      <c:pt idx="196">
                        <c:v>45524</c:v>
                      </c:pt>
                      <c:pt idx="197">
                        <c:v>45523</c:v>
                      </c:pt>
                      <c:pt idx="198">
                        <c:v>45520</c:v>
                      </c:pt>
                      <c:pt idx="199">
                        <c:v>45519</c:v>
                      </c:pt>
                      <c:pt idx="200">
                        <c:v>45518</c:v>
                      </c:pt>
                      <c:pt idx="201">
                        <c:v>45517</c:v>
                      </c:pt>
                      <c:pt idx="202">
                        <c:v>45516</c:v>
                      </c:pt>
                      <c:pt idx="203">
                        <c:v>45513</c:v>
                      </c:pt>
                      <c:pt idx="204">
                        <c:v>45512</c:v>
                      </c:pt>
                      <c:pt idx="205">
                        <c:v>45511</c:v>
                      </c:pt>
                      <c:pt idx="206">
                        <c:v>45510</c:v>
                      </c:pt>
                      <c:pt idx="207">
                        <c:v>45509</c:v>
                      </c:pt>
                      <c:pt idx="208">
                        <c:v>45506</c:v>
                      </c:pt>
                      <c:pt idx="209">
                        <c:v>45505</c:v>
                      </c:pt>
                      <c:pt idx="210">
                        <c:v>45504</c:v>
                      </c:pt>
                      <c:pt idx="211">
                        <c:v>45503</c:v>
                      </c:pt>
                      <c:pt idx="212">
                        <c:v>45502</c:v>
                      </c:pt>
                      <c:pt idx="213">
                        <c:v>45499</c:v>
                      </c:pt>
                      <c:pt idx="214">
                        <c:v>45498</c:v>
                      </c:pt>
                      <c:pt idx="215">
                        <c:v>45497</c:v>
                      </c:pt>
                      <c:pt idx="216">
                        <c:v>45496</c:v>
                      </c:pt>
                      <c:pt idx="217">
                        <c:v>45495</c:v>
                      </c:pt>
                      <c:pt idx="218">
                        <c:v>45492</c:v>
                      </c:pt>
                      <c:pt idx="219">
                        <c:v>45491</c:v>
                      </c:pt>
                      <c:pt idx="220">
                        <c:v>45490</c:v>
                      </c:pt>
                      <c:pt idx="221">
                        <c:v>45489</c:v>
                      </c:pt>
                      <c:pt idx="222">
                        <c:v>45488</c:v>
                      </c:pt>
                      <c:pt idx="223">
                        <c:v>45485</c:v>
                      </c:pt>
                      <c:pt idx="224">
                        <c:v>45484</c:v>
                      </c:pt>
                      <c:pt idx="225">
                        <c:v>45483</c:v>
                      </c:pt>
                      <c:pt idx="226">
                        <c:v>45481</c:v>
                      </c:pt>
                      <c:pt idx="227">
                        <c:v>45478</c:v>
                      </c:pt>
                      <c:pt idx="228">
                        <c:v>45477</c:v>
                      </c:pt>
                      <c:pt idx="229">
                        <c:v>45476</c:v>
                      </c:pt>
                      <c:pt idx="230">
                        <c:v>45475</c:v>
                      </c:pt>
                      <c:pt idx="231">
                        <c:v>45474</c:v>
                      </c:pt>
                      <c:pt idx="232">
                        <c:v>45471</c:v>
                      </c:pt>
                      <c:pt idx="233">
                        <c:v>45470</c:v>
                      </c:pt>
                      <c:pt idx="234">
                        <c:v>45469</c:v>
                      </c:pt>
                      <c:pt idx="235">
                        <c:v>45468</c:v>
                      </c:pt>
                      <c:pt idx="236">
                        <c:v>45467</c:v>
                      </c:pt>
                      <c:pt idx="237">
                        <c:v>45462</c:v>
                      </c:pt>
                      <c:pt idx="238">
                        <c:v>45461</c:v>
                      </c:pt>
                      <c:pt idx="239">
                        <c:v>45457</c:v>
                      </c:pt>
                      <c:pt idx="240">
                        <c:v>45456</c:v>
                      </c:pt>
                      <c:pt idx="241">
                        <c:v>45455</c:v>
                      </c:pt>
                      <c:pt idx="242">
                        <c:v>45454</c:v>
                      </c:pt>
                      <c:pt idx="243">
                        <c:v>45453</c:v>
                      </c:pt>
                      <c:pt idx="244">
                        <c:v>45450</c:v>
                      </c:pt>
                      <c:pt idx="245">
                        <c:v>45449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'1) Estadística'!$B$10:$B$255</c15:sqref>
                        </c15:formulaRef>
                      </c:ext>
                    </c:extLst>
                    <c:numCache>
                      <c:formatCode>General</c:formatCode>
                      <c:ptCount val="246"/>
                      <c:pt idx="0">
                        <c:v>48.2</c:v>
                      </c:pt>
                      <c:pt idx="1">
                        <c:v>47.75</c:v>
                      </c:pt>
                      <c:pt idx="2">
                        <c:v>49</c:v>
                      </c:pt>
                      <c:pt idx="3">
                        <c:v>51.8</c:v>
                      </c:pt>
                      <c:pt idx="4">
                        <c:v>49.1</c:v>
                      </c:pt>
                      <c:pt idx="5">
                        <c:v>51.4</c:v>
                      </c:pt>
                      <c:pt idx="6">
                        <c:v>53.4</c:v>
                      </c:pt>
                      <c:pt idx="7">
                        <c:v>53.4</c:v>
                      </c:pt>
                      <c:pt idx="8">
                        <c:v>53.5</c:v>
                      </c:pt>
                      <c:pt idx="9">
                        <c:v>51.9</c:v>
                      </c:pt>
                      <c:pt idx="10">
                        <c:v>52.2</c:v>
                      </c:pt>
                      <c:pt idx="11">
                        <c:v>53</c:v>
                      </c:pt>
                      <c:pt idx="12">
                        <c:v>52.5</c:v>
                      </c:pt>
                      <c:pt idx="13">
                        <c:v>54.5</c:v>
                      </c:pt>
                      <c:pt idx="14">
                        <c:v>52.7</c:v>
                      </c:pt>
                      <c:pt idx="15">
                        <c:v>52</c:v>
                      </c:pt>
                      <c:pt idx="16">
                        <c:v>52.7</c:v>
                      </c:pt>
                      <c:pt idx="17">
                        <c:v>53.2</c:v>
                      </c:pt>
                      <c:pt idx="18">
                        <c:v>52.2</c:v>
                      </c:pt>
                      <c:pt idx="19">
                        <c:v>44.8</c:v>
                      </c:pt>
                      <c:pt idx="20">
                        <c:v>42.65</c:v>
                      </c:pt>
                      <c:pt idx="21">
                        <c:v>42.75</c:v>
                      </c:pt>
                      <c:pt idx="22">
                        <c:v>43.65</c:v>
                      </c:pt>
                      <c:pt idx="23">
                        <c:v>45</c:v>
                      </c:pt>
                      <c:pt idx="24">
                        <c:v>40.450000000000003</c:v>
                      </c:pt>
                      <c:pt idx="25">
                        <c:v>42.05</c:v>
                      </c:pt>
                      <c:pt idx="26">
                        <c:v>43.05</c:v>
                      </c:pt>
                      <c:pt idx="27">
                        <c:v>43.75</c:v>
                      </c:pt>
                      <c:pt idx="28">
                        <c:v>44.25</c:v>
                      </c:pt>
                      <c:pt idx="29">
                        <c:v>43.8</c:v>
                      </c:pt>
                      <c:pt idx="30">
                        <c:v>43.45</c:v>
                      </c:pt>
                      <c:pt idx="31">
                        <c:v>42.1</c:v>
                      </c:pt>
                      <c:pt idx="32">
                        <c:v>42.95</c:v>
                      </c:pt>
                      <c:pt idx="33">
                        <c:v>47.95</c:v>
                      </c:pt>
                      <c:pt idx="34">
                        <c:v>53.4</c:v>
                      </c:pt>
                      <c:pt idx="35">
                        <c:v>53.2</c:v>
                      </c:pt>
                      <c:pt idx="36">
                        <c:v>49.1</c:v>
                      </c:pt>
                      <c:pt idx="37">
                        <c:v>45.6</c:v>
                      </c:pt>
                      <c:pt idx="38">
                        <c:v>48.6</c:v>
                      </c:pt>
                      <c:pt idx="39">
                        <c:v>47.4</c:v>
                      </c:pt>
                      <c:pt idx="40">
                        <c:v>46.65</c:v>
                      </c:pt>
                      <c:pt idx="41">
                        <c:v>49.65</c:v>
                      </c:pt>
                      <c:pt idx="42">
                        <c:v>52.6</c:v>
                      </c:pt>
                      <c:pt idx="43">
                        <c:v>54.7</c:v>
                      </c:pt>
                      <c:pt idx="44">
                        <c:v>54.8</c:v>
                      </c:pt>
                      <c:pt idx="45">
                        <c:v>56.2</c:v>
                      </c:pt>
                      <c:pt idx="46">
                        <c:v>58.1</c:v>
                      </c:pt>
                      <c:pt idx="47">
                        <c:v>58.5</c:v>
                      </c:pt>
                      <c:pt idx="48">
                        <c:v>59.7</c:v>
                      </c:pt>
                      <c:pt idx="49">
                        <c:v>60.2</c:v>
                      </c:pt>
                      <c:pt idx="50">
                        <c:v>58</c:v>
                      </c:pt>
                      <c:pt idx="51">
                        <c:v>59.9</c:v>
                      </c:pt>
                      <c:pt idx="52">
                        <c:v>59.1</c:v>
                      </c:pt>
                      <c:pt idx="53">
                        <c:v>61</c:v>
                      </c:pt>
                      <c:pt idx="54">
                        <c:v>59.3</c:v>
                      </c:pt>
                      <c:pt idx="55">
                        <c:v>56.5</c:v>
                      </c:pt>
                      <c:pt idx="56">
                        <c:v>56.7</c:v>
                      </c:pt>
                      <c:pt idx="57">
                        <c:v>53.7</c:v>
                      </c:pt>
                      <c:pt idx="58">
                        <c:v>52</c:v>
                      </c:pt>
                      <c:pt idx="59">
                        <c:v>55.1</c:v>
                      </c:pt>
                      <c:pt idx="60">
                        <c:v>56.4</c:v>
                      </c:pt>
                      <c:pt idx="61">
                        <c:v>56.5</c:v>
                      </c:pt>
                      <c:pt idx="62">
                        <c:v>53</c:v>
                      </c:pt>
                      <c:pt idx="63">
                        <c:v>52.7</c:v>
                      </c:pt>
                      <c:pt idx="64">
                        <c:v>54.7</c:v>
                      </c:pt>
                      <c:pt idx="65">
                        <c:v>55</c:v>
                      </c:pt>
                      <c:pt idx="66">
                        <c:v>58.1</c:v>
                      </c:pt>
                      <c:pt idx="67">
                        <c:v>58.9</c:v>
                      </c:pt>
                      <c:pt idx="68">
                        <c:v>59.6</c:v>
                      </c:pt>
                      <c:pt idx="69">
                        <c:v>60.3</c:v>
                      </c:pt>
                      <c:pt idx="70">
                        <c:v>60.9</c:v>
                      </c:pt>
                      <c:pt idx="71">
                        <c:v>57.9</c:v>
                      </c:pt>
                      <c:pt idx="72">
                        <c:v>61</c:v>
                      </c:pt>
                      <c:pt idx="73">
                        <c:v>59.7</c:v>
                      </c:pt>
                      <c:pt idx="74">
                        <c:v>57.9</c:v>
                      </c:pt>
                      <c:pt idx="75">
                        <c:v>57.4</c:v>
                      </c:pt>
                      <c:pt idx="76">
                        <c:v>61.5</c:v>
                      </c:pt>
                      <c:pt idx="77">
                        <c:v>63.2</c:v>
                      </c:pt>
                      <c:pt idx="78">
                        <c:v>66.3</c:v>
                      </c:pt>
                      <c:pt idx="79">
                        <c:v>66.5</c:v>
                      </c:pt>
                      <c:pt idx="80">
                        <c:v>68.599999999999994</c:v>
                      </c:pt>
                      <c:pt idx="81">
                        <c:v>67.3</c:v>
                      </c:pt>
                      <c:pt idx="82">
                        <c:v>69.099999999999994</c:v>
                      </c:pt>
                      <c:pt idx="83">
                        <c:v>70.2</c:v>
                      </c:pt>
                      <c:pt idx="84">
                        <c:v>69.400000000000006</c:v>
                      </c:pt>
                      <c:pt idx="85">
                        <c:v>69.400000000000006</c:v>
                      </c:pt>
                      <c:pt idx="86">
                        <c:v>69</c:v>
                      </c:pt>
                      <c:pt idx="87">
                        <c:v>73.099999999999994</c:v>
                      </c:pt>
                      <c:pt idx="88">
                        <c:v>68.400000000000006</c:v>
                      </c:pt>
                      <c:pt idx="89">
                        <c:v>69.5</c:v>
                      </c:pt>
                      <c:pt idx="90">
                        <c:v>65.900000000000006</c:v>
                      </c:pt>
                      <c:pt idx="91">
                        <c:v>67.099999999999994</c:v>
                      </c:pt>
                      <c:pt idx="92">
                        <c:v>66.2</c:v>
                      </c:pt>
                      <c:pt idx="93">
                        <c:v>67.3</c:v>
                      </c:pt>
                      <c:pt idx="94">
                        <c:v>68.900000000000006</c:v>
                      </c:pt>
                      <c:pt idx="95">
                        <c:v>71.599999999999994</c:v>
                      </c:pt>
                      <c:pt idx="96">
                        <c:v>70.599999999999994</c:v>
                      </c:pt>
                      <c:pt idx="97">
                        <c:v>72.900000000000006</c:v>
                      </c:pt>
                      <c:pt idx="98">
                        <c:v>68</c:v>
                      </c:pt>
                      <c:pt idx="99">
                        <c:v>68.900000000000006</c:v>
                      </c:pt>
                      <c:pt idx="100">
                        <c:v>71.2</c:v>
                      </c:pt>
                      <c:pt idx="101">
                        <c:v>73</c:v>
                      </c:pt>
                      <c:pt idx="102">
                        <c:v>74.3</c:v>
                      </c:pt>
                      <c:pt idx="103">
                        <c:v>74.3</c:v>
                      </c:pt>
                      <c:pt idx="104">
                        <c:v>72.099999999999994</c:v>
                      </c:pt>
                      <c:pt idx="105">
                        <c:v>72.099999999999994</c:v>
                      </c:pt>
                      <c:pt idx="106">
                        <c:v>75.099999999999994</c:v>
                      </c:pt>
                      <c:pt idx="107">
                        <c:v>77.3</c:v>
                      </c:pt>
                      <c:pt idx="108">
                        <c:v>77.2</c:v>
                      </c:pt>
                      <c:pt idx="109">
                        <c:v>77.099999999999994</c:v>
                      </c:pt>
                      <c:pt idx="110">
                        <c:v>78</c:v>
                      </c:pt>
                      <c:pt idx="111">
                        <c:v>75.7</c:v>
                      </c:pt>
                      <c:pt idx="112">
                        <c:v>80.3</c:v>
                      </c:pt>
                      <c:pt idx="113">
                        <c:v>84</c:v>
                      </c:pt>
                      <c:pt idx="114">
                        <c:v>80.5</c:v>
                      </c:pt>
                      <c:pt idx="115">
                        <c:v>72.8</c:v>
                      </c:pt>
                      <c:pt idx="116">
                        <c:v>73</c:v>
                      </c:pt>
                      <c:pt idx="117">
                        <c:v>73.3</c:v>
                      </c:pt>
                      <c:pt idx="118">
                        <c:v>73.3</c:v>
                      </c:pt>
                      <c:pt idx="119">
                        <c:v>74.8</c:v>
                      </c:pt>
                      <c:pt idx="120">
                        <c:v>76.3</c:v>
                      </c:pt>
                      <c:pt idx="121">
                        <c:v>79.400000000000006</c:v>
                      </c:pt>
                      <c:pt idx="122">
                        <c:v>82.1</c:v>
                      </c:pt>
                      <c:pt idx="123">
                        <c:v>83.4</c:v>
                      </c:pt>
                      <c:pt idx="124">
                        <c:v>78.900000000000006</c:v>
                      </c:pt>
                      <c:pt idx="125">
                        <c:v>74.7</c:v>
                      </c:pt>
                      <c:pt idx="126">
                        <c:v>71</c:v>
                      </c:pt>
                      <c:pt idx="127">
                        <c:v>70.5</c:v>
                      </c:pt>
                      <c:pt idx="128">
                        <c:v>74.900000000000006</c:v>
                      </c:pt>
                      <c:pt idx="129">
                        <c:v>74.2</c:v>
                      </c:pt>
                      <c:pt idx="130">
                        <c:v>77.099999999999994</c:v>
                      </c:pt>
                      <c:pt idx="131">
                        <c:v>73.400000000000006</c:v>
                      </c:pt>
                      <c:pt idx="132">
                        <c:v>68.3</c:v>
                      </c:pt>
                      <c:pt idx="133">
                        <c:v>64.3</c:v>
                      </c:pt>
                      <c:pt idx="134">
                        <c:v>67.400000000000006</c:v>
                      </c:pt>
                      <c:pt idx="135">
                        <c:v>64.3</c:v>
                      </c:pt>
                      <c:pt idx="136">
                        <c:v>59.9</c:v>
                      </c:pt>
                      <c:pt idx="137">
                        <c:v>58.3</c:v>
                      </c:pt>
                      <c:pt idx="138">
                        <c:v>57.8</c:v>
                      </c:pt>
                      <c:pt idx="139">
                        <c:v>56.4</c:v>
                      </c:pt>
                      <c:pt idx="140">
                        <c:v>57.3</c:v>
                      </c:pt>
                      <c:pt idx="141">
                        <c:v>54</c:v>
                      </c:pt>
                      <c:pt idx="142">
                        <c:v>54.8</c:v>
                      </c:pt>
                      <c:pt idx="143">
                        <c:v>56.5</c:v>
                      </c:pt>
                      <c:pt idx="144">
                        <c:v>54.8</c:v>
                      </c:pt>
                      <c:pt idx="145">
                        <c:v>52</c:v>
                      </c:pt>
                      <c:pt idx="146">
                        <c:v>52.4</c:v>
                      </c:pt>
                      <c:pt idx="147">
                        <c:v>52.2</c:v>
                      </c:pt>
                      <c:pt idx="148">
                        <c:v>51.7</c:v>
                      </c:pt>
                      <c:pt idx="149">
                        <c:v>52.1</c:v>
                      </c:pt>
                      <c:pt idx="150">
                        <c:v>51.1</c:v>
                      </c:pt>
                      <c:pt idx="151">
                        <c:v>50.7</c:v>
                      </c:pt>
                      <c:pt idx="152">
                        <c:v>52.3</c:v>
                      </c:pt>
                      <c:pt idx="153">
                        <c:v>52.5</c:v>
                      </c:pt>
                      <c:pt idx="154">
                        <c:v>53</c:v>
                      </c:pt>
                      <c:pt idx="155">
                        <c:v>53</c:v>
                      </c:pt>
                      <c:pt idx="156">
                        <c:v>52.4</c:v>
                      </c:pt>
                      <c:pt idx="157">
                        <c:v>53.5</c:v>
                      </c:pt>
                      <c:pt idx="158">
                        <c:v>54.4</c:v>
                      </c:pt>
                      <c:pt idx="159">
                        <c:v>55.1</c:v>
                      </c:pt>
                      <c:pt idx="160">
                        <c:v>54.5</c:v>
                      </c:pt>
                      <c:pt idx="161">
                        <c:v>54.5</c:v>
                      </c:pt>
                      <c:pt idx="162">
                        <c:v>54.6</c:v>
                      </c:pt>
                      <c:pt idx="163">
                        <c:v>55.2</c:v>
                      </c:pt>
                      <c:pt idx="164">
                        <c:v>54.7</c:v>
                      </c:pt>
                      <c:pt idx="165">
                        <c:v>54.7</c:v>
                      </c:pt>
                      <c:pt idx="166">
                        <c:v>55.3</c:v>
                      </c:pt>
                      <c:pt idx="167">
                        <c:v>55.9</c:v>
                      </c:pt>
                      <c:pt idx="168">
                        <c:v>57.6</c:v>
                      </c:pt>
                      <c:pt idx="169">
                        <c:v>56.8</c:v>
                      </c:pt>
                      <c:pt idx="170">
                        <c:v>55.1</c:v>
                      </c:pt>
                      <c:pt idx="171">
                        <c:v>55</c:v>
                      </c:pt>
                      <c:pt idx="172">
                        <c:v>53.8</c:v>
                      </c:pt>
                      <c:pt idx="173">
                        <c:v>54.7</c:v>
                      </c:pt>
                      <c:pt idx="174">
                        <c:v>55.4</c:v>
                      </c:pt>
                      <c:pt idx="175">
                        <c:v>54.5</c:v>
                      </c:pt>
                      <c:pt idx="176">
                        <c:v>54.9</c:v>
                      </c:pt>
                      <c:pt idx="177">
                        <c:v>55.6</c:v>
                      </c:pt>
                      <c:pt idx="178">
                        <c:v>56.9</c:v>
                      </c:pt>
                      <c:pt idx="179">
                        <c:v>56.4</c:v>
                      </c:pt>
                      <c:pt idx="180">
                        <c:v>56.1</c:v>
                      </c:pt>
                      <c:pt idx="181">
                        <c:v>52.6</c:v>
                      </c:pt>
                      <c:pt idx="182">
                        <c:v>53.9</c:v>
                      </c:pt>
                      <c:pt idx="183">
                        <c:v>53.9</c:v>
                      </c:pt>
                      <c:pt idx="184">
                        <c:v>55.5</c:v>
                      </c:pt>
                      <c:pt idx="185">
                        <c:v>55.6</c:v>
                      </c:pt>
                      <c:pt idx="186">
                        <c:v>55</c:v>
                      </c:pt>
                      <c:pt idx="187">
                        <c:v>56.7</c:v>
                      </c:pt>
                      <c:pt idx="188">
                        <c:v>56.9</c:v>
                      </c:pt>
                      <c:pt idx="189">
                        <c:v>55.7</c:v>
                      </c:pt>
                      <c:pt idx="190">
                        <c:v>54.4</c:v>
                      </c:pt>
                      <c:pt idx="191">
                        <c:v>54.1</c:v>
                      </c:pt>
                      <c:pt idx="192">
                        <c:v>55.3</c:v>
                      </c:pt>
                      <c:pt idx="193">
                        <c:v>55.6</c:v>
                      </c:pt>
                      <c:pt idx="194">
                        <c:v>55</c:v>
                      </c:pt>
                      <c:pt idx="195">
                        <c:v>55.8</c:v>
                      </c:pt>
                      <c:pt idx="196">
                        <c:v>57.5</c:v>
                      </c:pt>
                      <c:pt idx="197">
                        <c:v>58.8</c:v>
                      </c:pt>
                      <c:pt idx="198">
                        <c:v>59.5</c:v>
                      </c:pt>
                      <c:pt idx="199">
                        <c:v>59.5</c:v>
                      </c:pt>
                      <c:pt idx="200">
                        <c:v>59</c:v>
                      </c:pt>
                      <c:pt idx="201">
                        <c:v>60.1</c:v>
                      </c:pt>
                      <c:pt idx="202">
                        <c:v>61.1</c:v>
                      </c:pt>
                      <c:pt idx="203">
                        <c:v>59.9</c:v>
                      </c:pt>
                      <c:pt idx="204">
                        <c:v>56.7</c:v>
                      </c:pt>
                      <c:pt idx="205">
                        <c:v>54.8</c:v>
                      </c:pt>
                      <c:pt idx="206">
                        <c:v>55.4</c:v>
                      </c:pt>
                      <c:pt idx="207">
                        <c:v>52.2</c:v>
                      </c:pt>
                      <c:pt idx="208">
                        <c:v>56.1</c:v>
                      </c:pt>
                      <c:pt idx="209">
                        <c:v>57</c:v>
                      </c:pt>
                      <c:pt idx="210">
                        <c:v>57.1</c:v>
                      </c:pt>
                      <c:pt idx="211">
                        <c:v>53.8</c:v>
                      </c:pt>
                      <c:pt idx="212">
                        <c:v>55.8</c:v>
                      </c:pt>
                      <c:pt idx="213">
                        <c:v>59.1</c:v>
                      </c:pt>
                      <c:pt idx="214">
                        <c:v>59</c:v>
                      </c:pt>
                      <c:pt idx="215">
                        <c:v>59.7</c:v>
                      </c:pt>
                      <c:pt idx="216">
                        <c:v>61.3</c:v>
                      </c:pt>
                      <c:pt idx="217">
                        <c:v>61.2</c:v>
                      </c:pt>
                      <c:pt idx="218">
                        <c:v>59.2</c:v>
                      </c:pt>
                      <c:pt idx="219">
                        <c:v>58.5</c:v>
                      </c:pt>
                      <c:pt idx="220">
                        <c:v>59.2</c:v>
                      </c:pt>
                      <c:pt idx="221">
                        <c:v>59.2</c:v>
                      </c:pt>
                      <c:pt idx="222">
                        <c:v>59</c:v>
                      </c:pt>
                      <c:pt idx="223">
                        <c:v>62.9</c:v>
                      </c:pt>
                      <c:pt idx="224">
                        <c:v>63.4</c:v>
                      </c:pt>
                      <c:pt idx="225">
                        <c:v>63.4</c:v>
                      </c:pt>
                      <c:pt idx="226">
                        <c:v>62.7</c:v>
                      </c:pt>
                      <c:pt idx="227">
                        <c:v>60.2</c:v>
                      </c:pt>
                      <c:pt idx="228">
                        <c:v>59.6</c:v>
                      </c:pt>
                      <c:pt idx="229">
                        <c:v>59.3</c:v>
                      </c:pt>
                      <c:pt idx="230">
                        <c:v>60.8</c:v>
                      </c:pt>
                      <c:pt idx="231">
                        <c:v>59.4</c:v>
                      </c:pt>
                      <c:pt idx="232">
                        <c:v>61.2</c:v>
                      </c:pt>
                      <c:pt idx="233">
                        <c:v>62.5</c:v>
                      </c:pt>
                      <c:pt idx="234">
                        <c:v>58.9</c:v>
                      </c:pt>
                      <c:pt idx="235">
                        <c:v>58.1</c:v>
                      </c:pt>
                      <c:pt idx="236">
                        <c:v>57</c:v>
                      </c:pt>
                      <c:pt idx="237">
                        <c:v>58.4</c:v>
                      </c:pt>
                      <c:pt idx="238">
                        <c:v>58.5</c:v>
                      </c:pt>
                      <c:pt idx="239">
                        <c:v>60.8</c:v>
                      </c:pt>
                      <c:pt idx="240">
                        <c:v>61.9</c:v>
                      </c:pt>
                      <c:pt idx="241">
                        <c:v>59.7</c:v>
                      </c:pt>
                      <c:pt idx="242">
                        <c:v>58.2</c:v>
                      </c:pt>
                      <c:pt idx="243">
                        <c:v>61</c:v>
                      </c:pt>
                      <c:pt idx="244">
                        <c:v>56.1</c:v>
                      </c:pt>
                      <c:pt idx="245">
                        <c:v>53.6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2BE8-46F5-A861-29D6F2ABEB9C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4"/>
          <c:order val="4"/>
          <c:tx>
            <c:strRef>
              <c:f>'1) Estadística'!$K$9</c:f>
              <c:strCache>
                <c:ptCount val="1"/>
                <c:pt idx="0">
                  <c:v>Riesgo país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'1) Estadística'!$A$10:$A$255</c:f>
              <c:numCache>
                <c:formatCode>[$-C0A]mmm\-yy;@</c:formatCode>
                <c:ptCount val="246"/>
                <c:pt idx="0">
                  <c:v>45814</c:v>
                </c:pt>
                <c:pt idx="1">
                  <c:v>45813</c:v>
                </c:pt>
                <c:pt idx="2">
                  <c:v>45812</c:v>
                </c:pt>
                <c:pt idx="3">
                  <c:v>45811</c:v>
                </c:pt>
                <c:pt idx="4">
                  <c:v>45810</c:v>
                </c:pt>
                <c:pt idx="5">
                  <c:v>45807</c:v>
                </c:pt>
                <c:pt idx="6">
                  <c:v>45806</c:v>
                </c:pt>
                <c:pt idx="7">
                  <c:v>45805</c:v>
                </c:pt>
                <c:pt idx="8">
                  <c:v>45804</c:v>
                </c:pt>
                <c:pt idx="9">
                  <c:v>45803</c:v>
                </c:pt>
                <c:pt idx="10">
                  <c:v>45800</c:v>
                </c:pt>
                <c:pt idx="11">
                  <c:v>45799</c:v>
                </c:pt>
                <c:pt idx="12">
                  <c:v>45798</c:v>
                </c:pt>
                <c:pt idx="13">
                  <c:v>45797</c:v>
                </c:pt>
                <c:pt idx="14">
                  <c:v>45796</c:v>
                </c:pt>
                <c:pt idx="15">
                  <c:v>45793</c:v>
                </c:pt>
                <c:pt idx="16">
                  <c:v>45792</c:v>
                </c:pt>
                <c:pt idx="17">
                  <c:v>45791</c:v>
                </c:pt>
                <c:pt idx="18">
                  <c:v>45790</c:v>
                </c:pt>
                <c:pt idx="19">
                  <c:v>45789</c:v>
                </c:pt>
                <c:pt idx="20">
                  <c:v>45786</c:v>
                </c:pt>
                <c:pt idx="21">
                  <c:v>45785</c:v>
                </c:pt>
                <c:pt idx="22">
                  <c:v>45784</c:v>
                </c:pt>
                <c:pt idx="23">
                  <c:v>45783</c:v>
                </c:pt>
                <c:pt idx="24">
                  <c:v>45782</c:v>
                </c:pt>
                <c:pt idx="25">
                  <c:v>45777</c:v>
                </c:pt>
                <c:pt idx="26">
                  <c:v>45776</c:v>
                </c:pt>
                <c:pt idx="27">
                  <c:v>45775</c:v>
                </c:pt>
                <c:pt idx="28">
                  <c:v>45772</c:v>
                </c:pt>
                <c:pt idx="29">
                  <c:v>45771</c:v>
                </c:pt>
                <c:pt idx="30">
                  <c:v>45770</c:v>
                </c:pt>
                <c:pt idx="31">
                  <c:v>45769</c:v>
                </c:pt>
                <c:pt idx="32">
                  <c:v>45768</c:v>
                </c:pt>
                <c:pt idx="33">
                  <c:v>45763</c:v>
                </c:pt>
                <c:pt idx="34">
                  <c:v>45762</c:v>
                </c:pt>
                <c:pt idx="35">
                  <c:v>45761</c:v>
                </c:pt>
                <c:pt idx="36">
                  <c:v>45758</c:v>
                </c:pt>
                <c:pt idx="37">
                  <c:v>45757</c:v>
                </c:pt>
                <c:pt idx="38">
                  <c:v>45756</c:v>
                </c:pt>
                <c:pt idx="39">
                  <c:v>45755</c:v>
                </c:pt>
                <c:pt idx="40">
                  <c:v>45754</c:v>
                </c:pt>
                <c:pt idx="41">
                  <c:v>45751</c:v>
                </c:pt>
                <c:pt idx="42">
                  <c:v>45750</c:v>
                </c:pt>
                <c:pt idx="43">
                  <c:v>45748</c:v>
                </c:pt>
                <c:pt idx="44">
                  <c:v>45747</c:v>
                </c:pt>
                <c:pt idx="45">
                  <c:v>45744</c:v>
                </c:pt>
                <c:pt idx="46">
                  <c:v>45743</c:v>
                </c:pt>
                <c:pt idx="47">
                  <c:v>45742</c:v>
                </c:pt>
                <c:pt idx="48">
                  <c:v>45741</c:v>
                </c:pt>
                <c:pt idx="49">
                  <c:v>45737</c:v>
                </c:pt>
                <c:pt idx="50">
                  <c:v>45736</c:v>
                </c:pt>
                <c:pt idx="51">
                  <c:v>45735</c:v>
                </c:pt>
                <c:pt idx="52">
                  <c:v>45734</c:v>
                </c:pt>
                <c:pt idx="53">
                  <c:v>45733</c:v>
                </c:pt>
                <c:pt idx="54">
                  <c:v>45730</c:v>
                </c:pt>
                <c:pt idx="55">
                  <c:v>45729</c:v>
                </c:pt>
                <c:pt idx="56">
                  <c:v>45728</c:v>
                </c:pt>
                <c:pt idx="57">
                  <c:v>45727</c:v>
                </c:pt>
                <c:pt idx="58">
                  <c:v>45726</c:v>
                </c:pt>
                <c:pt idx="59">
                  <c:v>45723</c:v>
                </c:pt>
                <c:pt idx="60">
                  <c:v>45722</c:v>
                </c:pt>
                <c:pt idx="61">
                  <c:v>45721</c:v>
                </c:pt>
                <c:pt idx="62">
                  <c:v>45716</c:v>
                </c:pt>
                <c:pt idx="63">
                  <c:v>45715</c:v>
                </c:pt>
                <c:pt idx="64">
                  <c:v>45714</c:v>
                </c:pt>
                <c:pt idx="65">
                  <c:v>45713</c:v>
                </c:pt>
                <c:pt idx="66">
                  <c:v>45712</c:v>
                </c:pt>
                <c:pt idx="67">
                  <c:v>45709</c:v>
                </c:pt>
                <c:pt idx="68">
                  <c:v>45708</c:v>
                </c:pt>
                <c:pt idx="69">
                  <c:v>45707</c:v>
                </c:pt>
                <c:pt idx="70">
                  <c:v>45706</c:v>
                </c:pt>
                <c:pt idx="71">
                  <c:v>45705</c:v>
                </c:pt>
                <c:pt idx="72">
                  <c:v>45702</c:v>
                </c:pt>
                <c:pt idx="73">
                  <c:v>45701</c:v>
                </c:pt>
                <c:pt idx="74">
                  <c:v>45700</c:v>
                </c:pt>
                <c:pt idx="75">
                  <c:v>45699</c:v>
                </c:pt>
                <c:pt idx="76">
                  <c:v>45698</c:v>
                </c:pt>
                <c:pt idx="77">
                  <c:v>45695</c:v>
                </c:pt>
                <c:pt idx="78">
                  <c:v>45694</c:v>
                </c:pt>
                <c:pt idx="79">
                  <c:v>45693</c:v>
                </c:pt>
                <c:pt idx="80">
                  <c:v>45692</c:v>
                </c:pt>
                <c:pt idx="81">
                  <c:v>45691</c:v>
                </c:pt>
                <c:pt idx="82">
                  <c:v>45688</c:v>
                </c:pt>
                <c:pt idx="83">
                  <c:v>45687</c:v>
                </c:pt>
                <c:pt idx="84">
                  <c:v>45686</c:v>
                </c:pt>
                <c:pt idx="85">
                  <c:v>45685</c:v>
                </c:pt>
                <c:pt idx="86">
                  <c:v>45684</c:v>
                </c:pt>
                <c:pt idx="87">
                  <c:v>45681</c:v>
                </c:pt>
                <c:pt idx="88">
                  <c:v>45680</c:v>
                </c:pt>
                <c:pt idx="89">
                  <c:v>45679</c:v>
                </c:pt>
                <c:pt idx="90">
                  <c:v>45678</c:v>
                </c:pt>
                <c:pt idx="91">
                  <c:v>45677</c:v>
                </c:pt>
                <c:pt idx="92">
                  <c:v>45674</c:v>
                </c:pt>
                <c:pt idx="93">
                  <c:v>45673</c:v>
                </c:pt>
                <c:pt idx="94">
                  <c:v>45672</c:v>
                </c:pt>
                <c:pt idx="95">
                  <c:v>45671</c:v>
                </c:pt>
                <c:pt idx="96">
                  <c:v>45670</c:v>
                </c:pt>
                <c:pt idx="97">
                  <c:v>45667</c:v>
                </c:pt>
                <c:pt idx="98">
                  <c:v>45666</c:v>
                </c:pt>
                <c:pt idx="99">
                  <c:v>45665</c:v>
                </c:pt>
                <c:pt idx="100">
                  <c:v>45664</c:v>
                </c:pt>
                <c:pt idx="101">
                  <c:v>45663</c:v>
                </c:pt>
                <c:pt idx="102">
                  <c:v>45660</c:v>
                </c:pt>
                <c:pt idx="103">
                  <c:v>45659</c:v>
                </c:pt>
                <c:pt idx="104">
                  <c:v>45657</c:v>
                </c:pt>
                <c:pt idx="105">
                  <c:v>45656</c:v>
                </c:pt>
                <c:pt idx="106">
                  <c:v>45653</c:v>
                </c:pt>
                <c:pt idx="107">
                  <c:v>45652</c:v>
                </c:pt>
                <c:pt idx="108">
                  <c:v>45650</c:v>
                </c:pt>
                <c:pt idx="109">
                  <c:v>45649</c:v>
                </c:pt>
                <c:pt idx="110">
                  <c:v>45646</c:v>
                </c:pt>
                <c:pt idx="111">
                  <c:v>45645</c:v>
                </c:pt>
                <c:pt idx="112">
                  <c:v>45644</c:v>
                </c:pt>
                <c:pt idx="113">
                  <c:v>45643</c:v>
                </c:pt>
                <c:pt idx="114">
                  <c:v>45642</c:v>
                </c:pt>
                <c:pt idx="115">
                  <c:v>45639</c:v>
                </c:pt>
                <c:pt idx="116">
                  <c:v>45638</c:v>
                </c:pt>
                <c:pt idx="117">
                  <c:v>45637</c:v>
                </c:pt>
                <c:pt idx="118">
                  <c:v>45636</c:v>
                </c:pt>
                <c:pt idx="119">
                  <c:v>45635</c:v>
                </c:pt>
                <c:pt idx="120">
                  <c:v>45632</c:v>
                </c:pt>
                <c:pt idx="121">
                  <c:v>45631</c:v>
                </c:pt>
                <c:pt idx="122">
                  <c:v>45630</c:v>
                </c:pt>
                <c:pt idx="123">
                  <c:v>45629</c:v>
                </c:pt>
                <c:pt idx="124">
                  <c:v>45628</c:v>
                </c:pt>
                <c:pt idx="125">
                  <c:v>45625</c:v>
                </c:pt>
                <c:pt idx="126">
                  <c:v>45624</c:v>
                </c:pt>
                <c:pt idx="127">
                  <c:v>45623</c:v>
                </c:pt>
                <c:pt idx="128">
                  <c:v>45622</c:v>
                </c:pt>
                <c:pt idx="129">
                  <c:v>45621</c:v>
                </c:pt>
                <c:pt idx="130">
                  <c:v>45618</c:v>
                </c:pt>
                <c:pt idx="131">
                  <c:v>45617</c:v>
                </c:pt>
                <c:pt idx="132">
                  <c:v>45616</c:v>
                </c:pt>
                <c:pt idx="133">
                  <c:v>45615</c:v>
                </c:pt>
                <c:pt idx="134">
                  <c:v>45611</c:v>
                </c:pt>
                <c:pt idx="135">
                  <c:v>45610</c:v>
                </c:pt>
                <c:pt idx="136">
                  <c:v>45609</c:v>
                </c:pt>
                <c:pt idx="137">
                  <c:v>45608</c:v>
                </c:pt>
                <c:pt idx="138">
                  <c:v>45607</c:v>
                </c:pt>
                <c:pt idx="139">
                  <c:v>45604</c:v>
                </c:pt>
                <c:pt idx="140">
                  <c:v>45603</c:v>
                </c:pt>
                <c:pt idx="141">
                  <c:v>45602</c:v>
                </c:pt>
                <c:pt idx="142">
                  <c:v>45601</c:v>
                </c:pt>
                <c:pt idx="143">
                  <c:v>45600</c:v>
                </c:pt>
                <c:pt idx="144">
                  <c:v>45597</c:v>
                </c:pt>
                <c:pt idx="145">
                  <c:v>45596</c:v>
                </c:pt>
                <c:pt idx="146">
                  <c:v>45595</c:v>
                </c:pt>
                <c:pt idx="147">
                  <c:v>45594</c:v>
                </c:pt>
                <c:pt idx="148">
                  <c:v>45593</c:v>
                </c:pt>
                <c:pt idx="149">
                  <c:v>45590</c:v>
                </c:pt>
                <c:pt idx="150">
                  <c:v>45589</c:v>
                </c:pt>
                <c:pt idx="151">
                  <c:v>45588</c:v>
                </c:pt>
                <c:pt idx="152">
                  <c:v>45587</c:v>
                </c:pt>
                <c:pt idx="153">
                  <c:v>45586</c:v>
                </c:pt>
                <c:pt idx="154">
                  <c:v>45583</c:v>
                </c:pt>
                <c:pt idx="155">
                  <c:v>45582</c:v>
                </c:pt>
                <c:pt idx="156">
                  <c:v>45581</c:v>
                </c:pt>
                <c:pt idx="157">
                  <c:v>45580</c:v>
                </c:pt>
                <c:pt idx="158">
                  <c:v>45579</c:v>
                </c:pt>
                <c:pt idx="159">
                  <c:v>45575</c:v>
                </c:pt>
                <c:pt idx="160">
                  <c:v>45574</c:v>
                </c:pt>
                <c:pt idx="161">
                  <c:v>45573</c:v>
                </c:pt>
                <c:pt idx="162">
                  <c:v>45572</c:v>
                </c:pt>
                <c:pt idx="163">
                  <c:v>45569</c:v>
                </c:pt>
                <c:pt idx="164">
                  <c:v>45568</c:v>
                </c:pt>
                <c:pt idx="165">
                  <c:v>45567</c:v>
                </c:pt>
                <c:pt idx="166">
                  <c:v>45566</c:v>
                </c:pt>
                <c:pt idx="167">
                  <c:v>45565</c:v>
                </c:pt>
                <c:pt idx="168">
                  <c:v>45562</c:v>
                </c:pt>
                <c:pt idx="169">
                  <c:v>45561</c:v>
                </c:pt>
                <c:pt idx="170">
                  <c:v>45560</c:v>
                </c:pt>
                <c:pt idx="171">
                  <c:v>45559</c:v>
                </c:pt>
                <c:pt idx="172">
                  <c:v>45558</c:v>
                </c:pt>
                <c:pt idx="173">
                  <c:v>45555</c:v>
                </c:pt>
                <c:pt idx="174">
                  <c:v>45554</c:v>
                </c:pt>
                <c:pt idx="175">
                  <c:v>45553</c:v>
                </c:pt>
                <c:pt idx="176">
                  <c:v>45552</c:v>
                </c:pt>
                <c:pt idx="177">
                  <c:v>45551</c:v>
                </c:pt>
                <c:pt idx="178">
                  <c:v>45548</c:v>
                </c:pt>
                <c:pt idx="179">
                  <c:v>45547</c:v>
                </c:pt>
                <c:pt idx="180">
                  <c:v>45546</c:v>
                </c:pt>
                <c:pt idx="181">
                  <c:v>45545</c:v>
                </c:pt>
                <c:pt idx="182">
                  <c:v>45544</c:v>
                </c:pt>
                <c:pt idx="183">
                  <c:v>45541</c:v>
                </c:pt>
                <c:pt idx="184">
                  <c:v>45540</c:v>
                </c:pt>
                <c:pt idx="185">
                  <c:v>45539</c:v>
                </c:pt>
                <c:pt idx="186">
                  <c:v>45538</c:v>
                </c:pt>
                <c:pt idx="187">
                  <c:v>45537</c:v>
                </c:pt>
                <c:pt idx="188">
                  <c:v>45534</c:v>
                </c:pt>
                <c:pt idx="189">
                  <c:v>45533</c:v>
                </c:pt>
                <c:pt idx="190">
                  <c:v>45532</c:v>
                </c:pt>
                <c:pt idx="191">
                  <c:v>45531</c:v>
                </c:pt>
                <c:pt idx="192">
                  <c:v>45530</c:v>
                </c:pt>
                <c:pt idx="193">
                  <c:v>45527</c:v>
                </c:pt>
                <c:pt idx="194">
                  <c:v>45526</c:v>
                </c:pt>
                <c:pt idx="195">
                  <c:v>45525</c:v>
                </c:pt>
                <c:pt idx="196">
                  <c:v>45524</c:v>
                </c:pt>
                <c:pt idx="197">
                  <c:v>45523</c:v>
                </c:pt>
                <c:pt idx="198">
                  <c:v>45520</c:v>
                </c:pt>
                <c:pt idx="199">
                  <c:v>45519</c:v>
                </c:pt>
                <c:pt idx="200">
                  <c:v>45518</c:v>
                </c:pt>
                <c:pt idx="201">
                  <c:v>45517</c:v>
                </c:pt>
                <c:pt idx="202">
                  <c:v>45516</c:v>
                </c:pt>
                <c:pt idx="203">
                  <c:v>45513</c:v>
                </c:pt>
                <c:pt idx="204">
                  <c:v>45512</c:v>
                </c:pt>
                <c:pt idx="205">
                  <c:v>45511</c:v>
                </c:pt>
                <c:pt idx="206">
                  <c:v>45510</c:v>
                </c:pt>
                <c:pt idx="207">
                  <c:v>45509</c:v>
                </c:pt>
                <c:pt idx="208">
                  <c:v>45506</c:v>
                </c:pt>
                <c:pt idx="209">
                  <c:v>45505</c:v>
                </c:pt>
                <c:pt idx="210">
                  <c:v>45504</c:v>
                </c:pt>
                <c:pt idx="211">
                  <c:v>45503</c:v>
                </c:pt>
                <c:pt idx="212">
                  <c:v>45502</c:v>
                </c:pt>
                <c:pt idx="213">
                  <c:v>45499</c:v>
                </c:pt>
                <c:pt idx="214">
                  <c:v>45498</c:v>
                </c:pt>
                <c:pt idx="215">
                  <c:v>45497</c:v>
                </c:pt>
                <c:pt idx="216">
                  <c:v>45496</c:v>
                </c:pt>
                <c:pt idx="217">
                  <c:v>45495</c:v>
                </c:pt>
                <c:pt idx="218">
                  <c:v>45492</c:v>
                </c:pt>
                <c:pt idx="219">
                  <c:v>45491</c:v>
                </c:pt>
                <c:pt idx="220">
                  <c:v>45490</c:v>
                </c:pt>
                <c:pt idx="221">
                  <c:v>45489</c:v>
                </c:pt>
                <c:pt idx="222">
                  <c:v>45488</c:v>
                </c:pt>
                <c:pt idx="223">
                  <c:v>45485</c:v>
                </c:pt>
                <c:pt idx="224">
                  <c:v>45484</c:v>
                </c:pt>
                <c:pt idx="225">
                  <c:v>45483</c:v>
                </c:pt>
                <c:pt idx="226">
                  <c:v>45481</c:v>
                </c:pt>
                <c:pt idx="227">
                  <c:v>45478</c:v>
                </c:pt>
                <c:pt idx="228">
                  <c:v>45477</c:v>
                </c:pt>
                <c:pt idx="229">
                  <c:v>45476</c:v>
                </c:pt>
                <c:pt idx="230">
                  <c:v>45475</c:v>
                </c:pt>
                <c:pt idx="231">
                  <c:v>45474</c:v>
                </c:pt>
                <c:pt idx="232">
                  <c:v>45471</c:v>
                </c:pt>
                <c:pt idx="233">
                  <c:v>45470</c:v>
                </c:pt>
                <c:pt idx="234">
                  <c:v>45469</c:v>
                </c:pt>
                <c:pt idx="235">
                  <c:v>45468</c:v>
                </c:pt>
                <c:pt idx="236">
                  <c:v>45467</c:v>
                </c:pt>
                <c:pt idx="237">
                  <c:v>45462</c:v>
                </c:pt>
                <c:pt idx="238">
                  <c:v>45461</c:v>
                </c:pt>
                <c:pt idx="239">
                  <c:v>45457</c:v>
                </c:pt>
                <c:pt idx="240">
                  <c:v>45456</c:v>
                </c:pt>
                <c:pt idx="241">
                  <c:v>45455</c:v>
                </c:pt>
                <c:pt idx="242">
                  <c:v>45454</c:v>
                </c:pt>
                <c:pt idx="243">
                  <c:v>45453</c:v>
                </c:pt>
                <c:pt idx="244">
                  <c:v>45450</c:v>
                </c:pt>
                <c:pt idx="245">
                  <c:v>45449</c:v>
                </c:pt>
              </c:numCache>
            </c:numRef>
          </c:cat>
          <c:val>
            <c:numRef>
              <c:f>'1) Estadística'!$K$10:$K$255</c:f>
              <c:numCache>
                <c:formatCode>_-* #,##0_-;\-* #,##0_-;_-* "-"??_-;_-@_-</c:formatCode>
                <c:ptCount val="246"/>
                <c:pt idx="0">
                  <c:v>688</c:v>
                </c:pt>
                <c:pt idx="1">
                  <c:v>688</c:v>
                </c:pt>
                <c:pt idx="2">
                  <c:v>688</c:v>
                </c:pt>
                <c:pt idx="3">
                  <c:v>668</c:v>
                </c:pt>
                <c:pt idx="4">
                  <c:v>#N/A</c:v>
                </c:pt>
                <c:pt idx="5">
                  <c:v>#N/A</c:v>
                </c:pt>
                <c:pt idx="6">
                  <c:v>663</c:v>
                </c:pt>
                <c:pt idx="7">
                  <c:v>655</c:v>
                </c:pt>
                <c:pt idx="8">
                  <c:v>666</c:v>
                </c:pt>
                <c:pt idx="9">
                  <c:v>666</c:v>
                </c:pt>
                <c:pt idx="10">
                  <c:v>665</c:v>
                </c:pt>
                <c:pt idx="11">
                  <c:v>665</c:v>
                </c:pt>
                <c:pt idx="12">
                  <c:v>661</c:v>
                </c:pt>
                <c:pt idx="13">
                  <c:v>663</c:v>
                </c:pt>
                <c:pt idx="14">
                  <c:v>675</c:v>
                </c:pt>
                <c:pt idx="15">
                  <c:v>676</c:v>
                </c:pt>
                <c:pt idx="16">
                  <c:v>676</c:v>
                </c:pt>
                <c:pt idx="17">
                  <c:v>648</c:v>
                </c:pt>
                <c:pt idx="18">
                  <c:v>651</c:v>
                </c:pt>
                <c:pt idx="19">
                  <c:v>650</c:v>
                </c:pt>
                <c:pt idx="20">
                  <c:v>678</c:v>
                </c:pt>
                <c:pt idx="21">
                  <c:v>678</c:v>
                </c:pt>
                <c:pt idx="22">
                  <c:v>766</c:v>
                </c:pt>
                <c:pt idx="23">
                  <c:v>741</c:v>
                </c:pt>
                <c:pt idx="24">
                  <c:v>741</c:v>
                </c:pt>
                <c:pt idx="25">
                  <c:v>726</c:v>
                </c:pt>
                <c:pt idx="26">
                  <c:v>701</c:v>
                </c:pt>
                <c:pt idx="27">
                  <c:v>710</c:v>
                </c:pt>
                <c:pt idx="28">
                  <c:v>692</c:v>
                </c:pt>
                <c:pt idx="29">
                  <c:v>713</c:v>
                </c:pt>
                <c:pt idx="30">
                  <c:v>720</c:v>
                </c:pt>
                <c:pt idx="31">
                  <c:v>720</c:v>
                </c:pt>
                <c:pt idx="32">
                  <c:v>720</c:v>
                </c:pt>
                <c:pt idx="33">
                  <c:v>745</c:v>
                </c:pt>
                <c:pt idx="34">
                  <c:v>725</c:v>
                </c:pt>
                <c:pt idx="35">
                  <c:v>896</c:v>
                </c:pt>
                <c:pt idx="36">
                  <c:v>874</c:v>
                </c:pt>
                <c:pt idx="37">
                  <c:v>899</c:v>
                </c:pt>
                <c:pt idx="38">
                  <c:v>889</c:v>
                </c:pt>
                <c:pt idx="39">
                  <c:v>978</c:v>
                </c:pt>
                <c:pt idx="40">
                  <c:v>960</c:v>
                </c:pt>
                <c:pt idx="41">
                  <c:v>925</c:v>
                </c:pt>
                <c:pt idx="42">
                  <c:v>872</c:v>
                </c:pt>
                <c:pt idx="43">
                  <c:v>823</c:v>
                </c:pt>
                <c:pt idx="44">
                  <c:v>816</c:v>
                </c:pt>
                <c:pt idx="45">
                  <c:v>797</c:v>
                </c:pt>
                <c:pt idx="46">
                  <c:v>759</c:v>
                </c:pt>
                <c:pt idx="47">
                  <c:v>769</c:v>
                </c:pt>
                <c:pt idx="48">
                  <c:v>761</c:v>
                </c:pt>
                <c:pt idx="49">
                  <c:v>769</c:v>
                </c:pt>
                <c:pt idx="50">
                  <c:v>762</c:v>
                </c:pt>
                <c:pt idx="51">
                  <c:v>777</c:v>
                </c:pt>
                <c:pt idx="52">
                  <c:v>787</c:v>
                </c:pt>
                <c:pt idx="53">
                  <c:v>750</c:v>
                </c:pt>
                <c:pt idx="54">
                  <c:v>737</c:v>
                </c:pt>
                <c:pt idx="55">
                  <c:v>748</c:v>
                </c:pt>
                <c:pt idx="56">
                  <c:v>718</c:v>
                </c:pt>
                <c:pt idx="57">
                  <c:v>723</c:v>
                </c:pt>
                <c:pt idx="58">
                  <c:v>723</c:v>
                </c:pt>
                <c:pt idx="59">
                  <c:v>692</c:v>
                </c:pt>
                <c:pt idx="60">
                  <c:v>714</c:v>
                </c:pt>
                <c:pt idx="61">
                  <c:v>717</c:v>
                </c:pt>
                <c:pt idx="62">
                  <c:v>780</c:v>
                </c:pt>
                <c:pt idx="63">
                  <c:v>769</c:v>
                </c:pt>
                <c:pt idx="64">
                  <c:v>749</c:v>
                </c:pt>
                <c:pt idx="65">
                  <c:v>748</c:v>
                </c:pt>
                <c:pt idx="66">
                  <c:v>730</c:v>
                </c:pt>
                <c:pt idx="67">
                  <c:v>720</c:v>
                </c:pt>
                <c:pt idx="68">
                  <c:v>719</c:v>
                </c:pt>
                <c:pt idx="69">
                  <c:v>719</c:v>
                </c:pt>
                <c:pt idx="70">
                  <c:v>696</c:v>
                </c:pt>
                <c:pt idx="71">
                  <c:v>675</c:v>
                </c:pt>
                <c:pt idx="72">
                  <c:v>675</c:v>
                </c:pt>
                <c:pt idx="73">
                  <c:v>675</c:v>
                </c:pt>
                <c:pt idx="74">
                  <c:v>673</c:v>
                </c:pt>
                <c:pt idx="75">
                  <c:v>710</c:v>
                </c:pt>
                <c:pt idx="76">
                  <c:v>677</c:v>
                </c:pt>
                <c:pt idx="77">
                  <c:v>660</c:v>
                </c:pt>
                <c:pt idx="78">
                  <c:v>659</c:v>
                </c:pt>
                <c:pt idx="79">
                  <c:v>660</c:v>
                </c:pt>
                <c:pt idx="80">
                  <c:v>640</c:v>
                </c:pt>
                <c:pt idx="81">
                  <c:v>632</c:v>
                </c:pt>
                <c:pt idx="82">
                  <c:v>618</c:v>
                </c:pt>
                <c:pt idx="83">
                  <c:v>614</c:v>
                </c:pt>
                <c:pt idx="84">
                  <c:v>611</c:v>
                </c:pt>
                <c:pt idx="85">
                  <c:v>634</c:v>
                </c:pt>
                <c:pt idx="86">
                  <c:v>642</c:v>
                </c:pt>
                <c:pt idx="87">
                  <c:v>631</c:v>
                </c:pt>
                <c:pt idx="88">
                  <c:v>646</c:v>
                </c:pt>
                <c:pt idx="89">
                  <c:v>640</c:v>
                </c:pt>
                <c:pt idx="90">
                  <c:v>638</c:v>
                </c:pt>
                <c:pt idx="91">
                  <c:v>641</c:v>
                </c:pt>
                <c:pt idx="92">
                  <c:v>644</c:v>
                </c:pt>
                <c:pt idx="93">
                  <c:v>626</c:v>
                </c:pt>
                <c:pt idx="94">
                  <c:v>597</c:v>
                </c:pt>
                <c:pt idx="95">
                  <c:v>579</c:v>
                </c:pt>
                <c:pt idx="96">
                  <c:v>589</c:v>
                </c:pt>
                <c:pt idx="97">
                  <c:v>580</c:v>
                </c:pt>
                <c:pt idx="98">
                  <c:v>560</c:v>
                </c:pt>
                <c:pt idx="99">
                  <c:v>572</c:v>
                </c:pt>
                <c:pt idx="100">
                  <c:v>561</c:v>
                </c:pt>
                <c:pt idx="101">
                  <c:v>569</c:v>
                </c:pt>
                <c:pt idx="102">
                  <c:v>610</c:v>
                </c:pt>
                <c:pt idx="103">
                  <c:v>610</c:v>
                </c:pt>
                <c:pt idx="104">
                  <c:v>635</c:v>
                </c:pt>
                <c:pt idx="105">
                  <c:v>635</c:v>
                </c:pt>
                <c:pt idx="106">
                  <c:v>627</c:v>
                </c:pt>
                <c:pt idx="107">
                  <c:v>631</c:v>
                </c:pt>
                <c:pt idx="108">
                  <c:v>649</c:v>
                </c:pt>
                <c:pt idx="109">
                  <c:v>649</c:v>
                </c:pt>
                <c:pt idx="110">
                  <c:v>671</c:v>
                </c:pt>
                <c:pt idx="111">
                  <c:v>663</c:v>
                </c:pt>
                <c:pt idx="112">
                  <c:v>658</c:v>
                </c:pt>
                <c:pt idx="113">
                  <c:v>673</c:v>
                </c:pt>
                <c:pt idx="114">
                  <c:v>677</c:v>
                </c:pt>
                <c:pt idx="115">
                  <c:v>708</c:v>
                </c:pt>
                <c:pt idx="116">
                  <c:v>715</c:v>
                </c:pt>
                <c:pt idx="117">
                  <c:v>719</c:v>
                </c:pt>
                <c:pt idx="118">
                  <c:v>735</c:v>
                </c:pt>
                <c:pt idx="119">
                  <c:v>737</c:v>
                </c:pt>
                <c:pt idx="120">
                  <c:v>769</c:v>
                </c:pt>
                <c:pt idx="121">
                  <c:v>760</c:v>
                </c:pt>
                <c:pt idx="122">
                  <c:v>751</c:v>
                </c:pt>
                <c:pt idx="123">
                  <c:v>754</c:v>
                </c:pt>
                <c:pt idx="124">
                  <c:v>749</c:v>
                </c:pt>
                <c:pt idx="125">
                  <c:v>752</c:v>
                </c:pt>
                <c:pt idx="126">
                  <c:v>752</c:v>
                </c:pt>
                <c:pt idx="127">
                  <c:v>755</c:v>
                </c:pt>
                <c:pt idx="128">
                  <c:v>751</c:v>
                </c:pt>
                <c:pt idx="129">
                  <c:v>748</c:v>
                </c:pt>
                <c:pt idx="130">
                  <c:v>745</c:v>
                </c:pt>
                <c:pt idx="131">
                  <c:v>734</c:v>
                </c:pt>
                <c:pt idx="132">
                  <c:v>720</c:v>
                </c:pt>
                <c:pt idx="133">
                  <c:v>746</c:v>
                </c:pt>
                <c:pt idx="134">
                  <c:v>769</c:v>
                </c:pt>
                <c:pt idx="135">
                  <c:v>772</c:v>
                </c:pt>
                <c:pt idx="136">
                  <c:v>800</c:v>
                </c:pt>
                <c:pt idx="137">
                  <c:v>819</c:v>
                </c:pt>
                <c:pt idx="138">
                  <c:v>850</c:v>
                </c:pt>
                <c:pt idx="139">
                  <c:v>850</c:v>
                </c:pt>
                <c:pt idx="140">
                  <c:v>859</c:v>
                </c:pt>
                <c:pt idx="141">
                  <c:v>870</c:v>
                </c:pt>
                <c:pt idx="142">
                  <c:v>933</c:v>
                </c:pt>
                <c:pt idx="143">
                  <c:v>955</c:v>
                </c:pt>
                <c:pt idx="144">
                  <c:v>955</c:v>
                </c:pt>
                <c:pt idx="145">
                  <c:v>984</c:v>
                </c:pt>
                <c:pt idx="146">
                  <c:v>956</c:v>
                </c:pt>
                <c:pt idx="147">
                  <c:v>933</c:v>
                </c:pt>
                <c:pt idx="148">
                  <c:v>914</c:v>
                </c:pt>
                <c:pt idx="149">
                  <c:v>967</c:v>
                </c:pt>
                <c:pt idx="150">
                  <c:v>1036</c:v>
                </c:pt>
                <c:pt idx="151">
                  <c:v>1103</c:v>
                </c:pt>
                <c:pt idx="152">
                  <c:v>1099</c:v>
                </c:pt>
                <c:pt idx="153">
                  <c:v>1100</c:v>
                </c:pt>
                <c:pt idx="154">
                  <c:v>1097</c:v>
                </c:pt>
                <c:pt idx="155">
                  <c:v>1099</c:v>
                </c:pt>
                <c:pt idx="156">
                  <c:v>1052</c:v>
                </c:pt>
                <c:pt idx="157">
                  <c:v>1044</c:v>
                </c:pt>
                <c:pt idx="158">
                  <c:v>1106</c:v>
                </c:pt>
                <c:pt idx="159">
                  <c:v>1126</c:v>
                </c:pt>
                <c:pt idx="160">
                  <c:v>1121</c:v>
                </c:pt>
                <c:pt idx="161">
                  <c:v>1188</c:v>
                </c:pt>
                <c:pt idx="162">
                  <c:v>1207</c:v>
                </c:pt>
                <c:pt idx="163">
                  <c:v>1258</c:v>
                </c:pt>
                <c:pt idx="164">
                  <c:v>1265</c:v>
                </c:pt>
                <c:pt idx="165">
                  <c:v>1276</c:v>
                </c:pt>
                <c:pt idx="166">
                  <c:v>1288</c:v>
                </c:pt>
                <c:pt idx="167">
                  <c:v>1290</c:v>
                </c:pt>
                <c:pt idx="168">
                  <c:v>1311</c:v>
                </c:pt>
                <c:pt idx="169">
                  <c:v>1302</c:v>
                </c:pt>
                <c:pt idx="170">
                  <c:v>1304</c:v>
                </c:pt>
                <c:pt idx="171">
                  <c:v>1303</c:v>
                </c:pt>
                <c:pt idx="172">
                  <c:v>1308</c:v>
                </c:pt>
                <c:pt idx="173">
                  <c:v>1319</c:v>
                </c:pt>
                <c:pt idx="174">
                  <c:v>1301</c:v>
                </c:pt>
                <c:pt idx="175">
                  <c:v>1363</c:v>
                </c:pt>
                <c:pt idx="176">
                  <c:v>1370</c:v>
                </c:pt>
                <c:pt idx="177">
                  <c:v>1365</c:v>
                </c:pt>
                <c:pt idx="178">
                  <c:v>1400</c:v>
                </c:pt>
                <c:pt idx="179">
                  <c:v>1422</c:v>
                </c:pt>
                <c:pt idx="180">
                  <c:v>1445</c:v>
                </c:pt>
                <c:pt idx="181">
                  <c:v>1445</c:v>
                </c:pt>
                <c:pt idx="182">
                  <c:v>1442</c:v>
                </c:pt>
                <c:pt idx="183">
                  <c:v>1483</c:v>
                </c:pt>
                <c:pt idx="184">
                  <c:v>1452</c:v>
                </c:pt>
                <c:pt idx="185">
                  <c:v>1465</c:v>
                </c:pt>
                <c:pt idx="186">
                  <c:v>1467</c:v>
                </c:pt>
                <c:pt idx="187">
                  <c:v>1433</c:v>
                </c:pt>
                <c:pt idx="188">
                  <c:v>1433</c:v>
                </c:pt>
                <c:pt idx="189">
                  <c:v>1444</c:v>
                </c:pt>
                <c:pt idx="190">
                  <c:v>1484</c:v>
                </c:pt>
                <c:pt idx="191">
                  <c:v>1510</c:v>
                </c:pt>
                <c:pt idx="192">
                  <c:v>1516</c:v>
                </c:pt>
                <c:pt idx="193">
                  <c:v>1516</c:v>
                </c:pt>
                <c:pt idx="194">
                  <c:v>1560</c:v>
                </c:pt>
                <c:pt idx="195">
                  <c:v>1525</c:v>
                </c:pt>
                <c:pt idx="196">
                  <c:v>1493</c:v>
                </c:pt>
                <c:pt idx="197">
                  <c:v>1471</c:v>
                </c:pt>
                <c:pt idx="198">
                  <c:v>1471</c:v>
                </c:pt>
                <c:pt idx="199">
                  <c:v>1490</c:v>
                </c:pt>
                <c:pt idx="200">
                  <c:v>1515</c:v>
                </c:pt>
                <c:pt idx="201">
                  <c:v>1557</c:v>
                </c:pt>
                <c:pt idx="202">
                  <c:v>1560</c:v>
                </c:pt>
                <c:pt idx="203">
                  <c:v>1558</c:v>
                </c:pt>
                <c:pt idx="204">
                  <c:v>1552</c:v>
                </c:pt>
                <c:pt idx="205">
                  <c:v>1574</c:v>
                </c:pt>
                <c:pt idx="206">
                  <c:v>1625</c:v>
                </c:pt>
                <c:pt idx="207">
                  <c:v>1653</c:v>
                </c:pt>
                <c:pt idx="208">
                  <c:v>1612</c:v>
                </c:pt>
                <c:pt idx="209">
                  <c:v>1550</c:v>
                </c:pt>
                <c:pt idx="210">
                  <c:v>1507</c:v>
                </c:pt>
                <c:pt idx="211">
                  <c:v>1556</c:v>
                </c:pt>
                <c:pt idx="212">
                  <c:v>1553</c:v>
                </c:pt>
                <c:pt idx="213">
                  <c:v>1562</c:v>
                </c:pt>
                <c:pt idx="214">
                  <c:v>1589</c:v>
                </c:pt>
                <c:pt idx="215">
                  <c:v>1577</c:v>
                </c:pt>
                <c:pt idx="216">
                  <c:v>1551</c:v>
                </c:pt>
                <c:pt idx="217">
                  <c:v>1570</c:v>
                </c:pt>
                <c:pt idx="218">
                  <c:v>1590</c:v>
                </c:pt>
                <c:pt idx="219">
                  <c:v>1587</c:v>
                </c:pt>
                <c:pt idx="220">
                  <c:v>1593</c:v>
                </c:pt>
                <c:pt idx="221">
                  <c:v>1584</c:v>
                </c:pt>
                <c:pt idx="222">
                  <c:v>1555</c:v>
                </c:pt>
                <c:pt idx="223">
                  <c:v>1511</c:v>
                </c:pt>
                <c:pt idx="224">
                  <c:v>1473</c:v>
                </c:pt>
                <c:pt idx="225">
                  <c:v>1477</c:v>
                </c:pt>
                <c:pt idx="226">
                  <c:v>1496</c:v>
                </c:pt>
                <c:pt idx="227">
                  <c:v>1406</c:v>
                </c:pt>
                <c:pt idx="228">
                  <c:v>1523</c:v>
                </c:pt>
                <c:pt idx="229">
                  <c:v>1521</c:v>
                </c:pt>
                <c:pt idx="230">
                  <c:v>1536</c:v>
                </c:pt>
                <c:pt idx="231">
                  <c:v>1513</c:v>
                </c:pt>
                <c:pt idx="232">
                  <c:v>1456</c:v>
                </c:pt>
                <c:pt idx="233">
                  <c:v>1445</c:v>
                </c:pt>
                <c:pt idx="234">
                  <c:v>1429</c:v>
                </c:pt>
                <c:pt idx="235">
                  <c:v>1440</c:v>
                </c:pt>
                <c:pt idx="236">
                  <c:v>1443</c:v>
                </c:pt>
                <c:pt idx="237">
                  <c:v>1384</c:v>
                </c:pt>
                <c:pt idx="238">
                  <c:v>1385</c:v>
                </c:pt>
                <c:pt idx="239">
                  <c:v>1382</c:v>
                </c:pt>
                <c:pt idx="240">
                  <c:v>1421</c:v>
                </c:pt>
                <c:pt idx="241">
                  <c:v>1484</c:v>
                </c:pt>
                <c:pt idx="242">
                  <c:v>1525</c:v>
                </c:pt>
                <c:pt idx="243">
                  <c:v>1488</c:v>
                </c:pt>
                <c:pt idx="244">
                  <c:v>1582</c:v>
                </c:pt>
                <c:pt idx="245">
                  <c:v>1596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E8-46F5-A861-29D6F2ABE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7293456"/>
        <c:axId val="1147303440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'1) Estadística'!$C$9</c15:sqref>
                        </c15:formulaRef>
                      </c:ext>
                    </c:extLst>
                    <c:strCache>
                      <c:ptCount val="1"/>
                      <c:pt idx="0">
                        <c:v>Merval $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'1) Estadística'!$A$10:$A$255</c15:sqref>
                        </c15:formulaRef>
                      </c:ext>
                    </c:extLst>
                    <c:numCache>
                      <c:formatCode>[$-C0A]mmm\-yy;@</c:formatCode>
                      <c:ptCount val="246"/>
                      <c:pt idx="0">
                        <c:v>45814</c:v>
                      </c:pt>
                      <c:pt idx="1">
                        <c:v>45813</c:v>
                      </c:pt>
                      <c:pt idx="2">
                        <c:v>45812</c:v>
                      </c:pt>
                      <c:pt idx="3">
                        <c:v>45811</c:v>
                      </c:pt>
                      <c:pt idx="4">
                        <c:v>45810</c:v>
                      </c:pt>
                      <c:pt idx="5">
                        <c:v>45807</c:v>
                      </c:pt>
                      <c:pt idx="6">
                        <c:v>45806</c:v>
                      </c:pt>
                      <c:pt idx="7">
                        <c:v>45805</c:v>
                      </c:pt>
                      <c:pt idx="8">
                        <c:v>45804</c:v>
                      </c:pt>
                      <c:pt idx="9">
                        <c:v>45803</c:v>
                      </c:pt>
                      <c:pt idx="10">
                        <c:v>45800</c:v>
                      </c:pt>
                      <c:pt idx="11">
                        <c:v>45799</c:v>
                      </c:pt>
                      <c:pt idx="12">
                        <c:v>45798</c:v>
                      </c:pt>
                      <c:pt idx="13">
                        <c:v>45797</c:v>
                      </c:pt>
                      <c:pt idx="14">
                        <c:v>45796</c:v>
                      </c:pt>
                      <c:pt idx="15">
                        <c:v>45793</c:v>
                      </c:pt>
                      <c:pt idx="16">
                        <c:v>45792</c:v>
                      </c:pt>
                      <c:pt idx="17">
                        <c:v>45791</c:v>
                      </c:pt>
                      <c:pt idx="18">
                        <c:v>45790</c:v>
                      </c:pt>
                      <c:pt idx="19">
                        <c:v>45789</c:v>
                      </c:pt>
                      <c:pt idx="20">
                        <c:v>45786</c:v>
                      </c:pt>
                      <c:pt idx="21">
                        <c:v>45785</c:v>
                      </c:pt>
                      <c:pt idx="22">
                        <c:v>45784</c:v>
                      </c:pt>
                      <c:pt idx="23">
                        <c:v>45783</c:v>
                      </c:pt>
                      <c:pt idx="24">
                        <c:v>45782</c:v>
                      </c:pt>
                      <c:pt idx="25">
                        <c:v>45777</c:v>
                      </c:pt>
                      <c:pt idx="26">
                        <c:v>45776</c:v>
                      </c:pt>
                      <c:pt idx="27">
                        <c:v>45775</c:v>
                      </c:pt>
                      <c:pt idx="28">
                        <c:v>45772</c:v>
                      </c:pt>
                      <c:pt idx="29">
                        <c:v>45771</c:v>
                      </c:pt>
                      <c:pt idx="30">
                        <c:v>45770</c:v>
                      </c:pt>
                      <c:pt idx="31">
                        <c:v>45769</c:v>
                      </c:pt>
                      <c:pt idx="32">
                        <c:v>45768</c:v>
                      </c:pt>
                      <c:pt idx="33">
                        <c:v>45763</c:v>
                      </c:pt>
                      <c:pt idx="34">
                        <c:v>45762</c:v>
                      </c:pt>
                      <c:pt idx="35">
                        <c:v>45761</c:v>
                      </c:pt>
                      <c:pt idx="36">
                        <c:v>45758</c:v>
                      </c:pt>
                      <c:pt idx="37">
                        <c:v>45757</c:v>
                      </c:pt>
                      <c:pt idx="38">
                        <c:v>45756</c:v>
                      </c:pt>
                      <c:pt idx="39">
                        <c:v>45755</c:v>
                      </c:pt>
                      <c:pt idx="40">
                        <c:v>45754</c:v>
                      </c:pt>
                      <c:pt idx="41">
                        <c:v>45751</c:v>
                      </c:pt>
                      <c:pt idx="42">
                        <c:v>45750</c:v>
                      </c:pt>
                      <c:pt idx="43">
                        <c:v>45748</c:v>
                      </c:pt>
                      <c:pt idx="44">
                        <c:v>45747</c:v>
                      </c:pt>
                      <c:pt idx="45">
                        <c:v>45744</c:v>
                      </c:pt>
                      <c:pt idx="46">
                        <c:v>45743</c:v>
                      </c:pt>
                      <c:pt idx="47">
                        <c:v>45742</c:v>
                      </c:pt>
                      <c:pt idx="48">
                        <c:v>45741</c:v>
                      </c:pt>
                      <c:pt idx="49">
                        <c:v>45737</c:v>
                      </c:pt>
                      <c:pt idx="50">
                        <c:v>45736</c:v>
                      </c:pt>
                      <c:pt idx="51">
                        <c:v>45735</c:v>
                      </c:pt>
                      <c:pt idx="52">
                        <c:v>45734</c:v>
                      </c:pt>
                      <c:pt idx="53">
                        <c:v>45733</c:v>
                      </c:pt>
                      <c:pt idx="54">
                        <c:v>45730</c:v>
                      </c:pt>
                      <c:pt idx="55">
                        <c:v>45729</c:v>
                      </c:pt>
                      <c:pt idx="56">
                        <c:v>45728</c:v>
                      </c:pt>
                      <c:pt idx="57">
                        <c:v>45727</c:v>
                      </c:pt>
                      <c:pt idx="58">
                        <c:v>45726</c:v>
                      </c:pt>
                      <c:pt idx="59">
                        <c:v>45723</c:v>
                      </c:pt>
                      <c:pt idx="60">
                        <c:v>45722</c:v>
                      </c:pt>
                      <c:pt idx="61">
                        <c:v>45721</c:v>
                      </c:pt>
                      <c:pt idx="62">
                        <c:v>45716</c:v>
                      </c:pt>
                      <c:pt idx="63">
                        <c:v>45715</c:v>
                      </c:pt>
                      <c:pt idx="64">
                        <c:v>45714</c:v>
                      </c:pt>
                      <c:pt idx="65">
                        <c:v>45713</c:v>
                      </c:pt>
                      <c:pt idx="66">
                        <c:v>45712</c:v>
                      </c:pt>
                      <c:pt idx="67">
                        <c:v>45709</c:v>
                      </c:pt>
                      <c:pt idx="68">
                        <c:v>45708</c:v>
                      </c:pt>
                      <c:pt idx="69">
                        <c:v>45707</c:v>
                      </c:pt>
                      <c:pt idx="70">
                        <c:v>45706</c:v>
                      </c:pt>
                      <c:pt idx="71">
                        <c:v>45705</c:v>
                      </c:pt>
                      <c:pt idx="72">
                        <c:v>45702</c:v>
                      </c:pt>
                      <c:pt idx="73">
                        <c:v>45701</c:v>
                      </c:pt>
                      <c:pt idx="74">
                        <c:v>45700</c:v>
                      </c:pt>
                      <c:pt idx="75">
                        <c:v>45699</c:v>
                      </c:pt>
                      <c:pt idx="76">
                        <c:v>45698</c:v>
                      </c:pt>
                      <c:pt idx="77">
                        <c:v>45695</c:v>
                      </c:pt>
                      <c:pt idx="78">
                        <c:v>45694</c:v>
                      </c:pt>
                      <c:pt idx="79">
                        <c:v>45693</c:v>
                      </c:pt>
                      <c:pt idx="80">
                        <c:v>45692</c:v>
                      </c:pt>
                      <c:pt idx="81">
                        <c:v>45691</c:v>
                      </c:pt>
                      <c:pt idx="82">
                        <c:v>45688</c:v>
                      </c:pt>
                      <c:pt idx="83">
                        <c:v>45687</c:v>
                      </c:pt>
                      <c:pt idx="84">
                        <c:v>45686</c:v>
                      </c:pt>
                      <c:pt idx="85">
                        <c:v>45685</c:v>
                      </c:pt>
                      <c:pt idx="86">
                        <c:v>45684</c:v>
                      </c:pt>
                      <c:pt idx="87">
                        <c:v>45681</c:v>
                      </c:pt>
                      <c:pt idx="88">
                        <c:v>45680</c:v>
                      </c:pt>
                      <c:pt idx="89">
                        <c:v>45679</c:v>
                      </c:pt>
                      <c:pt idx="90">
                        <c:v>45678</c:v>
                      </c:pt>
                      <c:pt idx="91">
                        <c:v>45677</c:v>
                      </c:pt>
                      <c:pt idx="92">
                        <c:v>45674</c:v>
                      </c:pt>
                      <c:pt idx="93">
                        <c:v>45673</c:v>
                      </c:pt>
                      <c:pt idx="94">
                        <c:v>45672</c:v>
                      </c:pt>
                      <c:pt idx="95">
                        <c:v>45671</c:v>
                      </c:pt>
                      <c:pt idx="96">
                        <c:v>45670</c:v>
                      </c:pt>
                      <c:pt idx="97">
                        <c:v>45667</c:v>
                      </c:pt>
                      <c:pt idx="98">
                        <c:v>45666</c:v>
                      </c:pt>
                      <c:pt idx="99">
                        <c:v>45665</c:v>
                      </c:pt>
                      <c:pt idx="100">
                        <c:v>45664</c:v>
                      </c:pt>
                      <c:pt idx="101">
                        <c:v>45663</c:v>
                      </c:pt>
                      <c:pt idx="102">
                        <c:v>45660</c:v>
                      </c:pt>
                      <c:pt idx="103">
                        <c:v>45659</c:v>
                      </c:pt>
                      <c:pt idx="104">
                        <c:v>45657</c:v>
                      </c:pt>
                      <c:pt idx="105">
                        <c:v>45656</c:v>
                      </c:pt>
                      <c:pt idx="106">
                        <c:v>45653</c:v>
                      </c:pt>
                      <c:pt idx="107">
                        <c:v>45652</c:v>
                      </c:pt>
                      <c:pt idx="108">
                        <c:v>45650</c:v>
                      </c:pt>
                      <c:pt idx="109">
                        <c:v>45649</c:v>
                      </c:pt>
                      <c:pt idx="110">
                        <c:v>45646</c:v>
                      </c:pt>
                      <c:pt idx="111">
                        <c:v>45645</c:v>
                      </c:pt>
                      <c:pt idx="112">
                        <c:v>45644</c:v>
                      </c:pt>
                      <c:pt idx="113">
                        <c:v>45643</c:v>
                      </c:pt>
                      <c:pt idx="114">
                        <c:v>45642</c:v>
                      </c:pt>
                      <c:pt idx="115">
                        <c:v>45639</c:v>
                      </c:pt>
                      <c:pt idx="116">
                        <c:v>45638</c:v>
                      </c:pt>
                      <c:pt idx="117">
                        <c:v>45637</c:v>
                      </c:pt>
                      <c:pt idx="118">
                        <c:v>45636</c:v>
                      </c:pt>
                      <c:pt idx="119">
                        <c:v>45635</c:v>
                      </c:pt>
                      <c:pt idx="120">
                        <c:v>45632</c:v>
                      </c:pt>
                      <c:pt idx="121">
                        <c:v>45631</c:v>
                      </c:pt>
                      <c:pt idx="122">
                        <c:v>45630</c:v>
                      </c:pt>
                      <c:pt idx="123">
                        <c:v>45629</c:v>
                      </c:pt>
                      <c:pt idx="124">
                        <c:v>45628</c:v>
                      </c:pt>
                      <c:pt idx="125">
                        <c:v>45625</c:v>
                      </c:pt>
                      <c:pt idx="126">
                        <c:v>45624</c:v>
                      </c:pt>
                      <c:pt idx="127">
                        <c:v>45623</c:v>
                      </c:pt>
                      <c:pt idx="128">
                        <c:v>45622</c:v>
                      </c:pt>
                      <c:pt idx="129">
                        <c:v>45621</c:v>
                      </c:pt>
                      <c:pt idx="130">
                        <c:v>45618</c:v>
                      </c:pt>
                      <c:pt idx="131">
                        <c:v>45617</c:v>
                      </c:pt>
                      <c:pt idx="132">
                        <c:v>45616</c:v>
                      </c:pt>
                      <c:pt idx="133">
                        <c:v>45615</c:v>
                      </c:pt>
                      <c:pt idx="134">
                        <c:v>45611</c:v>
                      </c:pt>
                      <c:pt idx="135">
                        <c:v>45610</c:v>
                      </c:pt>
                      <c:pt idx="136">
                        <c:v>45609</c:v>
                      </c:pt>
                      <c:pt idx="137">
                        <c:v>45608</c:v>
                      </c:pt>
                      <c:pt idx="138">
                        <c:v>45607</c:v>
                      </c:pt>
                      <c:pt idx="139">
                        <c:v>45604</c:v>
                      </c:pt>
                      <c:pt idx="140">
                        <c:v>45603</c:v>
                      </c:pt>
                      <c:pt idx="141">
                        <c:v>45602</c:v>
                      </c:pt>
                      <c:pt idx="142">
                        <c:v>45601</c:v>
                      </c:pt>
                      <c:pt idx="143">
                        <c:v>45600</c:v>
                      </c:pt>
                      <c:pt idx="144">
                        <c:v>45597</c:v>
                      </c:pt>
                      <c:pt idx="145">
                        <c:v>45596</c:v>
                      </c:pt>
                      <c:pt idx="146">
                        <c:v>45595</c:v>
                      </c:pt>
                      <c:pt idx="147">
                        <c:v>45594</c:v>
                      </c:pt>
                      <c:pt idx="148">
                        <c:v>45593</c:v>
                      </c:pt>
                      <c:pt idx="149">
                        <c:v>45590</c:v>
                      </c:pt>
                      <c:pt idx="150">
                        <c:v>45589</c:v>
                      </c:pt>
                      <c:pt idx="151">
                        <c:v>45588</c:v>
                      </c:pt>
                      <c:pt idx="152">
                        <c:v>45587</c:v>
                      </c:pt>
                      <c:pt idx="153">
                        <c:v>45586</c:v>
                      </c:pt>
                      <c:pt idx="154">
                        <c:v>45583</c:v>
                      </c:pt>
                      <c:pt idx="155">
                        <c:v>45582</c:v>
                      </c:pt>
                      <c:pt idx="156">
                        <c:v>45581</c:v>
                      </c:pt>
                      <c:pt idx="157">
                        <c:v>45580</c:v>
                      </c:pt>
                      <c:pt idx="158">
                        <c:v>45579</c:v>
                      </c:pt>
                      <c:pt idx="159">
                        <c:v>45575</c:v>
                      </c:pt>
                      <c:pt idx="160">
                        <c:v>45574</c:v>
                      </c:pt>
                      <c:pt idx="161">
                        <c:v>45573</c:v>
                      </c:pt>
                      <c:pt idx="162">
                        <c:v>45572</c:v>
                      </c:pt>
                      <c:pt idx="163">
                        <c:v>45569</c:v>
                      </c:pt>
                      <c:pt idx="164">
                        <c:v>45568</c:v>
                      </c:pt>
                      <c:pt idx="165">
                        <c:v>45567</c:v>
                      </c:pt>
                      <c:pt idx="166">
                        <c:v>45566</c:v>
                      </c:pt>
                      <c:pt idx="167">
                        <c:v>45565</c:v>
                      </c:pt>
                      <c:pt idx="168">
                        <c:v>45562</c:v>
                      </c:pt>
                      <c:pt idx="169">
                        <c:v>45561</c:v>
                      </c:pt>
                      <c:pt idx="170">
                        <c:v>45560</c:v>
                      </c:pt>
                      <c:pt idx="171">
                        <c:v>45559</c:v>
                      </c:pt>
                      <c:pt idx="172">
                        <c:v>45558</c:v>
                      </c:pt>
                      <c:pt idx="173">
                        <c:v>45555</c:v>
                      </c:pt>
                      <c:pt idx="174">
                        <c:v>45554</c:v>
                      </c:pt>
                      <c:pt idx="175">
                        <c:v>45553</c:v>
                      </c:pt>
                      <c:pt idx="176">
                        <c:v>45552</c:v>
                      </c:pt>
                      <c:pt idx="177">
                        <c:v>45551</c:v>
                      </c:pt>
                      <c:pt idx="178">
                        <c:v>45548</c:v>
                      </c:pt>
                      <c:pt idx="179">
                        <c:v>45547</c:v>
                      </c:pt>
                      <c:pt idx="180">
                        <c:v>45546</c:v>
                      </c:pt>
                      <c:pt idx="181">
                        <c:v>45545</c:v>
                      </c:pt>
                      <c:pt idx="182">
                        <c:v>45544</c:v>
                      </c:pt>
                      <c:pt idx="183">
                        <c:v>45541</c:v>
                      </c:pt>
                      <c:pt idx="184">
                        <c:v>45540</c:v>
                      </c:pt>
                      <c:pt idx="185">
                        <c:v>45539</c:v>
                      </c:pt>
                      <c:pt idx="186">
                        <c:v>45538</c:v>
                      </c:pt>
                      <c:pt idx="187">
                        <c:v>45537</c:v>
                      </c:pt>
                      <c:pt idx="188">
                        <c:v>45534</c:v>
                      </c:pt>
                      <c:pt idx="189">
                        <c:v>45533</c:v>
                      </c:pt>
                      <c:pt idx="190">
                        <c:v>45532</c:v>
                      </c:pt>
                      <c:pt idx="191">
                        <c:v>45531</c:v>
                      </c:pt>
                      <c:pt idx="192">
                        <c:v>45530</c:v>
                      </c:pt>
                      <c:pt idx="193">
                        <c:v>45527</c:v>
                      </c:pt>
                      <c:pt idx="194">
                        <c:v>45526</c:v>
                      </c:pt>
                      <c:pt idx="195">
                        <c:v>45525</c:v>
                      </c:pt>
                      <c:pt idx="196">
                        <c:v>45524</c:v>
                      </c:pt>
                      <c:pt idx="197">
                        <c:v>45523</c:v>
                      </c:pt>
                      <c:pt idx="198">
                        <c:v>45520</c:v>
                      </c:pt>
                      <c:pt idx="199">
                        <c:v>45519</c:v>
                      </c:pt>
                      <c:pt idx="200">
                        <c:v>45518</c:v>
                      </c:pt>
                      <c:pt idx="201">
                        <c:v>45517</c:v>
                      </c:pt>
                      <c:pt idx="202">
                        <c:v>45516</c:v>
                      </c:pt>
                      <c:pt idx="203">
                        <c:v>45513</c:v>
                      </c:pt>
                      <c:pt idx="204">
                        <c:v>45512</c:v>
                      </c:pt>
                      <c:pt idx="205">
                        <c:v>45511</c:v>
                      </c:pt>
                      <c:pt idx="206">
                        <c:v>45510</c:v>
                      </c:pt>
                      <c:pt idx="207">
                        <c:v>45509</c:v>
                      </c:pt>
                      <c:pt idx="208">
                        <c:v>45506</c:v>
                      </c:pt>
                      <c:pt idx="209">
                        <c:v>45505</c:v>
                      </c:pt>
                      <c:pt idx="210">
                        <c:v>45504</c:v>
                      </c:pt>
                      <c:pt idx="211">
                        <c:v>45503</c:v>
                      </c:pt>
                      <c:pt idx="212">
                        <c:v>45502</c:v>
                      </c:pt>
                      <c:pt idx="213">
                        <c:v>45499</c:v>
                      </c:pt>
                      <c:pt idx="214">
                        <c:v>45498</c:v>
                      </c:pt>
                      <c:pt idx="215">
                        <c:v>45497</c:v>
                      </c:pt>
                      <c:pt idx="216">
                        <c:v>45496</c:v>
                      </c:pt>
                      <c:pt idx="217">
                        <c:v>45495</c:v>
                      </c:pt>
                      <c:pt idx="218">
                        <c:v>45492</c:v>
                      </c:pt>
                      <c:pt idx="219">
                        <c:v>45491</c:v>
                      </c:pt>
                      <c:pt idx="220">
                        <c:v>45490</c:v>
                      </c:pt>
                      <c:pt idx="221">
                        <c:v>45489</c:v>
                      </c:pt>
                      <c:pt idx="222">
                        <c:v>45488</c:v>
                      </c:pt>
                      <c:pt idx="223">
                        <c:v>45485</c:v>
                      </c:pt>
                      <c:pt idx="224">
                        <c:v>45484</c:v>
                      </c:pt>
                      <c:pt idx="225">
                        <c:v>45483</c:v>
                      </c:pt>
                      <c:pt idx="226">
                        <c:v>45481</c:v>
                      </c:pt>
                      <c:pt idx="227">
                        <c:v>45478</c:v>
                      </c:pt>
                      <c:pt idx="228">
                        <c:v>45477</c:v>
                      </c:pt>
                      <c:pt idx="229">
                        <c:v>45476</c:v>
                      </c:pt>
                      <c:pt idx="230">
                        <c:v>45475</c:v>
                      </c:pt>
                      <c:pt idx="231">
                        <c:v>45474</c:v>
                      </c:pt>
                      <c:pt idx="232">
                        <c:v>45471</c:v>
                      </c:pt>
                      <c:pt idx="233">
                        <c:v>45470</c:v>
                      </c:pt>
                      <c:pt idx="234">
                        <c:v>45469</c:v>
                      </c:pt>
                      <c:pt idx="235">
                        <c:v>45468</c:v>
                      </c:pt>
                      <c:pt idx="236">
                        <c:v>45467</c:v>
                      </c:pt>
                      <c:pt idx="237">
                        <c:v>45462</c:v>
                      </c:pt>
                      <c:pt idx="238">
                        <c:v>45461</c:v>
                      </c:pt>
                      <c:pt idx="239">
                        <c:v>45457</c:v>
                      </c:pt>
                      <c:pt idx="240">
                        <c:v>45456</c:v>
                      </c:pt>
                      <c:pt idx="241">
                        <c:v>45455</c:v>
                      </c:pt>
                      <c:pt idx="242">
                        <c:v>45454</c:v>
                      </c:pt>
                      <c:pt idx="243">
                        <c:v>45453</c:v>
                      </c:pt>
                      <c:pt idx="244">
                        <c:v>45450</c:v>
                      </c:pt>
                      <c:pt idx="245">
                        <c:v>45449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'1) Estadística'!$C$10:$C$255</c15:sqref>
                        </c15:formulaRef>
                      </c:ext>
                    </c:extLst>
                    <c:numCache>
                      <c:formatCode>#,##0</c:formatCode>
                      <c:ptCount val="246"/>
                      <c:pt idx="0">
                        <c:v>2156778.5</c:v>
                      </c:pt>
                      <c:pt idx="1">
                        <c:v>2124156</c:v>
                      </c:pt>
                      <c:pt idx="2">
                        <c:v>2126915.25</c:v>
                      </c:pt>
                      <c:pt idx="3">
                        <c:v>2224638</c:v>
                      </c:pt>
                      <c:pt idx="4">
                        <c:v>2206291.25</c:v>
                      </c:pt>
                      <c:pt idx="5">
                        <c:v>2278991.5</c:v>
                      </c:pt>
                      <c:pt idx="6">
                        <c:v>2308055.75</c:v>
                      </c:pt>
                      <c:pt idx="7">
                        <c:v>2344329.5</c:v>
                      </c:pt>
                      <c:pt idx="8">
                        <c:v>2355098.25</c:v>
                      </c:pt>
                      <c:pt idx="9">
                        <c:v>2370800</c:v>
                      </c:pt>
                      <c:pt idx="10">
                        <c:v>2345902.25</c:v>
                      </c:pt>
                      <c:pt idx="11">
                        <c:v>2314897</c:v>
                      </c:pt>
                      <c:pt idx="12">
                        <c:v>2319548.5</c:v>
                      </c:pt>
                      <c:pt idx="13">
                        <c:v>2378464</c:v>
                      </c:pt>
                      <c:pt idx="14">
                        <c:v>2369505.25</c:v>
                      </c:pt>
                      <c:pt idx="15">
                        <c:v>2318360</c:v>
                      </c:pt>
                      <c:pt idx="16">
                        <c:v>2298473</c:v>
                      </c:pt>
                      <c:pt idx="17">
                        <c:v>2301643.25</c:v>
                      </c:pt>
                      <c:pt idx="18">
                        <c:v>2285483.25</c:v>
                      </c:pt>
                      <c:pt idx="19">
                        <c:v>2230394.75</c:v>
                      </c:pt>
                      <c:pt idx="20">
                        <c:v>2114385.5</c:v>
                      </c:pt>
                      <c:pt idx="21">
                        <c:v>2061722.25</c:v>
                      </c:pt>
                      <c:pt idx="22">
                        <c:v>2059914.88</c:v>
                      </c:pt>
                      <c:pt idx="23">
                        <c:v>2129994.5</c:v>
                      </c:pt>
                      <c:pt idx="24">
                        <c:v>2059931.63</c:v>
                      </c:pt>
                      <c:pt idx="25">
                        <c:v>2100843.75</c:v>
                      </c:pt>
                      <c:pt idx="26">
                        <c:v>2158847.75</c:v>
                      </c:pt>
                      <c:pt idx="27">
                        <c:v>2179248.75</c:v>
                      </c:pt>
                      <c:pt idx="28">
                        <c:v>2225242.75</c:v>
                      </c:pt>
                      <c:pt idx="29">
                        <c:v>2232745.25</c:v>
                      </c:pt>
                      <c:pt idx="30">
                        <c:v>2239402</c:v>
                      </c:pt>
                      <c:pt idx="31">
                        <c:v>2163891</c:v>
                      </c:pt>
                      <c:pt idx="32">
                        <c:v>2045707.38</c:v>
                      </c:pt>
                      <c:pt idx="33">
                        <c:v>2177975</c:v>
                      </c:pt>
                      <c:pt idx="34">
                        <c:v>2284279.5</c:v>
                      </c:pt>
                      <c:pt idx="35">
                        <c:v>2364950</c:v>
                      </c:pt>
                      <c:pt idx="36">
                        <c:v>2248803</c:v>
                      </c:pt>
                      <c:pt idx="37">
                        <c:v>2111490.25</c:v>
                      </c:pt>
                      <c:pt idx="38">
                        <c:v>2183577</c:v>
                      </c:pt>
                      <c:pt idx="39">
                        <c:v>1990621.25</c:v>
                      </c:pt>
                      <c:pt idx="40">
                        <c:v>2025967.25</c:v>
                      </c:pt>
                      <c:pt idx="41">
                        <c:v>2107816</c:v>
                      </c:pt>
                      <c:pt idx="42">
                        <c:v>2275658.75</c:v>
                      </c:pt>
                      <c:pt idx="43">
                        <c:v>2356530.75</c:v>
                      </c:pt>
                      <c:pt idx="44">
                        <c:v>2338760.75</c:v>
                      </c:pt>
                      <c:pt idx="45">
                        <c:v>2378562.75</c:v>
                      </c:pt>
                      <c:pt idx="46">
                        <c:v>2412081.5</c:v>
                      </c:pt>
                      <c:pt idx="47">
                        <c:v>2439966.25</c:v>
                      </c:pt>
                      <c:pt idx="48">
                        <c:v>2487679.75</c:v>
                      </c:pt>
                      <c:pt idx="49">
                        <c:v>2433538.25</c:v>
                      </c:pt>
                      <c:pt idx="50">
                        <c:v>2361583</c:v>
                      </c:pt>
                      <c:pt idx="51">
                        <c:v>2392030</c:v>
                      </c:pt>
                      <c:pt idx="52">
                        <c:v>2288538</c:v>
                      </c:pt>
                      <c:pt idx="53">
                        <c:v>2346305.5</c:v>
                      </c:pt>
                      <c:pt idx="54">
                        <c:v>2335574.75</c:v>
                      </c:pt>
                      <c:pt idx="55">
                        <c:v>2232180</c:v>
                      </c:pt>
                      <c:pt idx="56">
                        <c:v>2272936.75</c:v>
                      </c:pt>
                      <c:pt idx="57">
                        <c:v>2159499.75</c:v>
                      </c:pt>
                      <c:pt idx="58">
                        <c:v>2138846.25</c:v>
                      </c:pt>
                      <c:pt idx="59">
                        <c:v>2262289.25</c:v>
                      </c:pt>
                      <c:pt idx="60">
                        <c:v>2270181.25</c:v>
                      </c:pt>
                      <c:pt idx="61">
                        <c:v>2290050</c:v>
                      </c:pt>
                      <c:pt idx="62">
                        <c:v>2205800.5</c:v>
                      </c:pt>
                      <c:pt idx="63">
                        <c:v>2193656.75</c:v>
                      </c:pt>
                      <c:pt idx="64">
                        <c:v>2275036.75</c:v>
                      </c:pt>
                      <c:pt idx="65">
                        <c:v>2282898.75</c:v>
                      </c:pt>
                      <c:pt idx="66">
                        <c:v>2348398.5</c:v>
                      </c:pt>
                      <c:pt idx="67">
                        <c:v>2364529.5</c:v>
                      </c:pt>
                      <c:pt idx="68">
                        <c:v>2410221</c:v>
                      </c:pt>
                      <c:pt idx="69">
                        <c:v>2401579.75</c:v>
                      </c:pt>
                      <c:pt idx="70">
                        <c:v>2391724.75</c:v>
                      </c:pt>
                      <c:pt idx="71">
                        <c:v>2254188.75</c:v>
                      </c:pt>
                      <c:pt idx="72">
                        <c:v>2387385.75</c:v>
                      </c:pt>
                      <c:pt idx="73">
                        <c:v>2353743.75</c:v>
                      </c:pt>
                      <c:pt idx="74">
                        <c:v>2285846.5</c:v>
                      </c:pt>
                      <c:pt idx="75">
                        <c:v>2273568</c:v>
                      </c:pt>
                      <c:pt idx="76">
                        <c:v>2391367.5</c:v>
                      </c:pt>
                      <c:pt idx="77">
                        <c:v>2416381.75</c:v>
                      </c:pt>
                      <c:pt idx="78">
                        <c:v>2503483.5</c:v>
                      </c:pt>
                      <c:pt idx="79">
                        <c:v>2477714</c:v>
                      </c:pt>
                      <c:pt idx="80">
                        <c:v>2523647</c:v>
                      </c:pt>
                      <c:pt idx="81">
                        <c:v>2484135.75</c:v>
                      </c:pt>
                      <c:pt idx="82">
                        <c:v>2564659</c:v>
                      </c:pt>
                      <c:pt idx="83">
                        <c:v>2599328.5</c:v>
                      </c:pt>
                      <c:pt idx="84">
                        <c:v>2545355.5</c:v>
                      </c:pt>
                      <c:pt idx="85">
                        <c:v>2435628.75</c:v>
                      </c:pt>
                      <c:pt idx="86">
                        <c:v>2439098.75</c:v>
                      </c:pt>
                      <c:pt idx="87">
                        <c:v>2566082.25</c:v>
                      </c:pt>
                      <c:pt idx="88">
                        <c:v>2625050</c:v>
                      </c:pt>
                      <c:pt idx="89">
                        <c:v>2680945.75</c:v>
                      </c:pt>
                      <c:pt idx="90">
                        <c:v>2619719.25</c:v>
                      </c:pt>
                      <c:pt idx="91">
                        <c:v>2536837.5</c:v>
                      </c:pt>
                      <c:pt idx="92">
                        <c:v>2510886</c:v>
                      </c:pt>
                      <c:pt idx="93">
                        <c:v>2629377</c:v>
                      </c:pt>
                      <c:pt idx="94">
                        <c:v>2704473.75</c:v>
                      </c:pt>
                      <c:pt idx="95">
                        <c:v>2733273.25</c:v>
                      </c:pt>
                      <c:pt idx="96">
                        <c:v>2655178.5</c:v>
                      </c:pt>
                      <c:pt idx="97">
                        <c:v>2805139.75</c:v>
                      </c:pt>
                      <c:pt idx="98">
                        <c:v>2829730.5</c:v>
                      </c:pt>
                      <c:pt idx="99">
                        <c:v>2782477</c:v>
                      </c:pt>
                      <c:pt idx="100">
                        <c:v>2822174.5</c:v>
                      </c:pt>
                      <c:pt idx="101">
                        <c:v>2801220.75</c:v>
                      </c:pt>
                      <c:pt idx="102">
                        <c:v>2728911</c:v>
                      </c:pt>
                      <c:pt idx="103">
                        <c:v>2695646.5</c:v>
                      </c:pt>
                      <c:pt idx="104">
                        <c:v>2695647</c:v>
                      </c:pt>
                      <c:pt idx="105">
                        <c:v>2533634.75</c:v>
                      </c:pt>
                      <c:pt idx="106">
                        <c:v>2577545.75</c:v>
                      </c:pt>
                      <c:pt idx="107">
                        <c:v>2597388.5</c:v>
                      </c:pt>
                      <c:pt idx="108">
                        <c:v>2551020.5</c:v>
                      </c:pt>
                      <c:pt idx="109">
                        <c:v>2501153</c:v>
                      </c:pt>
                      <c:pt idx="110">
                        <c:v>2467562</c:v>
                      </c:pt>
                      <c:pt idx="111">
                        <c:v>2419894.25</c:v>
                      </c:pt>
                      <c:pt idx="112">
                        <c:v>2521016.5</c:v>
                      </c:pt>
                      <c:pt idx="113">
                        <c:v>2592200.5</c:v>
                      </c:pt>
                      <c:pt idx="114">
                        <c:v>2543202</c:v>
                      </c:pt>
                      <c:pt idx="115">
                        <c:v>2370661.75</c:v>
                      </c:pt>
                      <c:pt idx="116">
                        <c:v>2304089.5</c:v>
                      </c:pt>
                      <c:pt idx="117">
                        <c:v>2291149.25</c:v>
                      </c:pt>
                      <c:pt idx="118">
                        <c:v>2201245.75</c:v>
                      </c:pt>
                      <c:pt idx="119">
                        <c:v>2228858.75</c:v>
                      </c:pt>
                      <c:pt idx="120">
                        <c:v>2202444.25</c:v>
                      </c:pt>
                      <c:pt idx="121">
                        <c:v>2211583</c:v>
                      </c:pt>
                      <c:pt idx="122">
                        <c:v>2216277.75</c:v>
                      </c:pt>
                      <c:pt idx="123">
                        <c:v>2303990</c:v>
                      </c:pt>
                      <c:pt idx="124">
                        <c:v>2295431.5</c:v>
                      </c:pt>
                      <c:pt idx="125">
                        <c:v>2258295</c:v>
                      </c:pt>
                      <c:pt idx="126">
                        <c:v>2230803.25</c:v>
                      </c:pt>
                      <c:pt idx="127">
                        <c:v>2205245</c:v>
                      </c:pt>
                      <c:pt idx="128">
                        <c:v>2252266.25</c:v>
                      </c:pt>
                      <c:pt idx="129">
                        <c:v>2218551</c:v>
                      </c:pt>
                      <c:pt idx="130">
                        <c:v>2211988</c:v>
                      </c:pt>
                      <c:pt idx="131">
                        <c:v>2140096.25</c:v>
                      </c:pt>
                      <c:pt idx="132">
                        <c:v>2145971.75</c:v>
                      </c:pt>
                      <c:pt idx="133">
                        <c:v>2124412.5</c:v>
                      </c:pt>
                      <c:pt idx="134">
                        <c:v>2066915.25</c:v>
                      </c:pt>
                      <c:pt idx="135">
                        <c:v>2087646.63</c:v>
                      </c:pt>
                      <c:pt idx="136">
                        <c:v>2042551</c:v>
                      </c:pt>
                      <c:pt idx="137">
                        <c:v>2012040.88</c:v>
                      </c:pt>
                      <c:pt idx="138">
                        <c:v>1987845.88</c:v>
                      </c:pt>
                      <c:pt idx="139">
                        <c:v>1964487.25</c:v>
                      </c:pt>
                      <c:pt idx="140">
                        <c:v>2015557.75</c:v>
                      </c:pt>
                      <c:pt idx="141">
                        <c:v>1976613</c:v>
                      </c:pt>
                      <c:pt idx="142">
                        <c:v>1931281.13</c:v>
                      </c:pt>
                      <c:pt idx="143">
                        <c:v>1919066</c:v>
                      </c:pt>
                      <c:pt idx="144">
                        <c:v>1879878.63</c:v>
                      </c:pt>
                      <c:pt idx="145">
                        <c:v>1848744.25</c:v>
                      </c:pt>
                      <c:pt idx="146">
                        <c:v>1837535.25</c:v>
                      </c:pt>
                      <c:pt idx="147">
                        <c:v>1845639.25</c:v>
                      </c:pt>
                      <c:pt idx="148">
                        <c:v>1851913.75</c:v>
                      </c:pt>
                      <c:pt idx="149">
                        <c:v>1872784.63</c:v>
                      </c:pt>
                      <c:pt idx="150">
                        <c:v>1849994.75</c:v>
                      </c:pt>
                      <c:pt idx="151">
                        <c:v>1774318.63</c:v>
                      </c:pt>
                      <c:pt idx="152">
                        <c:v>1807539.25</c:v>
                      </c:pt>
                      <c:pt idx="153">
                        <c:v>1820705.38</c:v>
                      </c:pt>
                      <c:pt idx="154">
                        <c:v>1823329.75</c:v>
                      </c:pt>
                      <c:pt idx="155">
                        <c:v>1801603.88</c:v>
                      </c:pt>
                      <c:pt idx="156">
                        <c:v>1776060.5</c:v>
                      </c:pt>
                      <c:pt idx="157">
                        <c:v>1816250.5</c:v>
                      </c:pt>
                      <c:pt idx="158">
                        <c:v>1804414.63</c:v>
                      </c:pt>
                      <c:pt idx="159">
                        <c:v>1782989.13</c:v>
                      </c:pt>
                      <c:pt idx="160">
                        <c:v>1771932.75</c:v>
                      </c:pt>
                      <c:pt idx="161">
                        <c:v>1731369.63</c:v>
                      </c:pt>
                      <c:pt idx="162">
                        <c:v>1714593.63</c:v>
                      </c:pt>
                      <c:pt idx="163">
                        <c:v>1756514.5</c:v>
                      </c:pt>
                      <c:pt idx="164">
                        <c:v>1754992.38</c:v>
                      </c:pt>
                      <c:pt idx="165">
                        <c:v>1715159</c:v>
                      </c:pt>
                      <c:pt idx="166">
                        <c:v>1728761.13</c:v>
                      </c:pt>
                      <c:pt idx="167">
                        <c:v>1697400.63</c:v>
                      </c:pt>
                      <c:pt idx="168">
                        <c:v>1727776.5</c:v>
                      </c:pt>
                      <c:pt idx="169">
                        <c:v>1715670.63</c:v>
                      </c:pt>
                      <c:pt idx="170">
                        <c:v>1744131.25</c:v>
                      </c:pt>
                      <c:pt idx="171">
                        <c:v>1774667.88</c:v>
                      </c:pt>
                      <c:pt idx="172">
                        <c:v>1790228.13</c:v>
                      </c:pt>
                      <c:pt idx="173">
                        <c:v>1822928.25</c:v>
                      </c:pt>
                      <c:pt idx="174">
                        <c:v>1847053.13</c:v>
                      </c:pt>
                      <c:pt idx="175">
                        <c:v>1815098.88</c:v>
                      </c:pt>
                      <c:pt idx="176">
                        <c:v>1813298</c:v>
                      </c:pt>
                      <c:pt idx="177">
                        <c:v>1812872.38</c:v>
                      </c:pt>
                      <c:pt idx="178">
                        <c:v>1817734</c:v>
                      </c:pt>
                      <c:pt idx="179">
                        <c:v>1790058.13</c:v>
                      </c:pt>
                      <c:pt idx="180">
                        <c:v>1764128.5</c:v>
                      </c:pt>
                      <c:pt idx="181">
                        <c:v>1715184.88</c:v>
                      </c:pt>
                      <c:pt idx="182">
                        <c:v>1738555.75</c:v>
                      </c:pt>
                      <c:pt idx="183">
                        <c:v>1721668</c:v>
                      </c:pt>
                      <c:pt idx="184">
                        <c:v>1765465</c:v>
                      </c:pt>
                      <c:pt idx="185">
                        <c:v>1796920.13</c:v>
                      </c:pt>
                      <c:pt idx="186">
                        <c:v>1735253</c:v>
                      </c:pt>
                      <c:pt idx="187">
                        <c:v>1754832.88</c:v>
                      </c:pt>
                      <c:pt idx="188">
                        <c:v>1717564.5</c:v>
                      </c:pt>
                      <c:pt idx="189">
                        <c:v>1660144</c:v>
                      </c:pt>
                      <c:pt idx="190">
                        <c:v>1617544.38</c:v>
                      </c:pt>
                      <c:pt idx="191">
                        <c:v>1616134.13</c:v>
                      </c:pt>
                      <c:pt idx="192">
                        <c:v>1593002.5</c:v>
                      </c:pt>
                      <c:pt idx="193">
                        <c:v>1606967.38</c:v>
                      </c:pt>
                      <c:pt idx="194">
                        <c:v>1577419.88</c:v>
                      </c:pt>
                      <c:pt idx="195">
                        <c:v>1621075.63</c:v>
                      </c:pt>
                      <c:pt idx="196">
                        <c:v>1659274.75</c:v>
                      </c:pt>
                      <c:pt idx="197">
                        <c:v>1657074.63</c:v>
                      </c:pt>
                      <c:pt idx="198">
                        <c:v>1649329.38</c:v>
                      </c:pt>
                      <c:pt idx="199">
                        <c:v>1643875</c:v>
                      </c:pt>
                      <c:pt idx="200">
                        <c:v>1607310.13</c:v>
                      </c:pt>
                      <c:pt idx="201">
                        <c:v>1591696.88</c:v>
                      </c:pt>
                      <c:pt idx="202">
                        <c:v>1588905.13</c:v>
                      </c:pt>
                      <c:pt idx="203">
                        <c:v>1583894.88</c:v>
                      </c:pt>
                      <c:pt idx="204">
                        <c:v>1530365.75</c:v>
                      </c:pt>
                      <c:pt idx="205">
                        <c:v>1452160.75</c:v>
                      </c:pt>
                      <c:pt idx="206">
                        <c:v>1457571</c:v>
                      </c:pt>
                      <c:pt idx="207">
                        <c:v>1420523</c:v>
                      </c:pt>
                      <c:pt idx="208">
                        <c:v>1433349.88</c:v>
                      </c:pt>
                      <c:pt idx="209">
                        <c:v>1500216.5</c:v>
                      </c:pt>
                      <c:pt idx="210">
                        <c:v>1481853.5</c:v>
                      </c:pt>
                      <c:pt idx="211">
                        <c:v>1411953.38</c:v>
                      </c:pt>
                      <c:pt idx="212">
                        <c:v>1481241.5</c:v>
                      </c:pt>
                      <c:pt idx="213">
                        <c:v>1542021.75</c:v>
                      </c:pt>
                      <c:pt idx="214">
                        <c:v>1538280</c:v>
                      </c:pt>
                      <c:pt idx="215">
                        <c:v>1582112.88</c:v>
                      </c:pt>
                      <c:pt idx="216">
                        <c:v>1635674.13</c:v>
                      </c:pt>
                      <c:pt idx="217">
                        <c:v>1590407</c:v>
                      </c:pt>
                      <c:pt idx="218">
                        <c:v>1569018.75</c:v>
                      </c:pt>
                      <c:pt idx="219">
                        <c:v>1528790.63</c:v>
                      </c:pt>
                      <c:pt idx="220">
                        <c:v>1524496.25</c:v>
                      </c:pt>
                      <c:pt idx="221">
                        <c:v>1526268.13</c:v>
                      </c:pt>
                      <c:pt idx="222">
                        <c:v>1504984</c:v>
                      </c:pt>
                      <c:pt idx="223">
                        <c:v>1715610</c:v>
                      </c:pt>
                      <c:pt idx="224">
                        <c:v>1705676.5</c:v>
                      </c:pt>
                      <c:pt idx="225">
                        <c:v>1690009</c:v>
                      </c:pt>
                      <c:pt idx="226">
                        <c:v>1643221.13</c:v>
                      </c:pt>
                      <c:pt idx="227">
                        <c:v>1629029.5</c:v>
                      </c:pt>
                      <c:pt idx="228">
                        <c:v>1612744.63</c:v>
                      </c:pt>
                      <c:pt idx="229">
                        <c:v>1603517</c:v>
                      </c:pt>
                      <c:pt idx="230">
                        <c:v>1636391.13</c:v>
                      </c:pt>
                      <c:pt idx="231">
                        <c:v>1594732.88</c:v>
                      </c:pt>
                      <c:pt idx="232">
                        <c:v>1611295.13</c:v>
                      </c:pt>
                      <c:pt idx="233">
                        <c:v>1635667.38</c:v>
                      </c:pt>
                      <c:pt idx="234">
                        <c:v>1574472.25</c:v>
                      </c:pt>
                      <c:pt idx="235">
                        <c:v>1570620.25</c:v>
                      </c:pt>
                      <c:pt idx="236">
                        <c:v>1559667.38</c:v>
                      </c:pt>
                      <c:pt idx="237">
                        <c:v>1576462.38</c:v>
                      </c:pt>
                      <c:pt idx="238">
                        <c:v>1557429.63</c:v>
                      </c:pt>
                      <c:pt idx="239">
                        <c:v>1582372</c:v>
                      </c:pt>
                      <c:pt idx="240">
                        <c:v>1605208.38</c:v>
                      </c:pt>
                      <c:pt idx="241">
                        <c:v>1568096.38</c:v>
                      </c:pt>
                      <c:pt idx="242">
                        <c:v>1544869.25</c:v>
                      </c:pt>
                      <c:pt idx="243">
                        <c:v>1576628.38</c:v>
                      </c:pt>
                      <c:pt idx="244">
                        <c:v>1519209.13</c:v>
                      </c:pt>
                      <c:pt idx="245">
                        <c:v>1503728.38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2BE8-46F5-A861-29D6F2ABEB9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'1) Estadística'!$H$9</c15:sqref>
                        </c15:formulaRef>
                      </c:ext>
                    </c:extLst>
                    <c:strCache>
                      <c:ptCount val="1"/>
                      <c:pt idx="0">
                        <c:v>Merval USD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'1) Estadística'!$A$10:$A$255</c15:sqref>
                        </c15:formulaRef>
                      </c:ext>
                    </c:extLst>
                    <c:numCache>
                      <c:formatCode>[$-C0A]mmm\-yy;@</c:formatCode>
                      <c:ptCount val="246"/>
                      <c:pt idx="0">
                        <c:v>45814</c:v>
                      </c:pt>
                      <c:pt idx="1">
                        <c:v>45813</c:v>
                      </c:pt>
                      <c:pt idx="2">
                        <c:v>45812</c:v>
                      </c:pt>
                      <c:pt idx="3">
                        <c:v>45811</c:v>
                      </c:pt>
                      <c:pt idx="4">
                        <c:v>45810</c:v>
                      </c:pt>
                      <c:pt idx="5">
                        <c:v>45807</c:v>
                      </c:pt>
                      <c:pt idx="6">
                        <c:v>45806</c:v>
                      </c:pt>
                      <c:pt idx="7">
                        <c:v>45805</c:v>
                      </c:pt>
                      <c:pt idx="8">
                        <c:v>45804</c:v>
                      </c:pt>
                      <c:pt idx="9">
                        <c:v>45803</c:v>
                      </c:pt>
                      <c:pt idx="10">
                        <c:v>45800</c:v>
                      </c:pt>
                      <c:pt idx="11">
                        <c:v>45799</c:v>
                      </c:pt>
                      <c:pt idx="12">
                        <c:v>45798</c:v>
                      </c:pt>
                      <c:pt idx="13">
                        <c:v>45797</c:v>
                      </c:pt>
                      <c:pt idx="14">
                        <c:v>45796</c:v>
                      </c:pt>
                      <c:pt idx="15">
                        <c:v>45793</c:v>
                      </c:pt>
                      <c:pt idx="16">
                        <c:v>45792</c:v>
                      </c:pt>
                      <c:pt idx="17">
                        <c:v>45791</c:v>
                      </c:pt>
                      <c:pt idx="18">
                        <c:v>45790</c:v>
                      </c:pt>
                      <c:pt idx="19">
                        <c:v>45789</c:v>
                      </c:pt>
                      <c:pt idx="20">
                        <c:v>45786</c:v>
                      </c:pt>
                      <c:pt idx="21">
                        <c:v>45785</c:v>
                      </c:pt>
                      <c:pt idx="22">
                        <c:v>45784</c:v>
                      </c:pt>
                      <c:pt idx="23">
                        <c:v>45783</c:v>
                      </c:pt>
                      <c:pt idx="24">
                        <c:v>45782</c:v>
                      </c:pt>
                      <c:pt idx="25">
                        <c:v>45777</c:v>
                      </c:pt>
                      <c:pt idx="26">
                        <c:v>45776</c:v>
                      </c:pt>
                      <c:pt idx="27">
                        <c:v>45775</c:v>
                      </c:pt>
                      <c:pt idx="28">
                        <c:v>45772</c:v>
                      </c:pt>
                      <c:pt idx="29">
                        <c:v>45771</c:v>
                      </c:pt>
                      <c:pt idx="30">
                        <c:v>45770</c:v>
                      </c:pt>
                      <c:pt idx="31">
                        <c:v>45769</c:v>
                      </c:pt>
                      <c:pt idx="32">
                        <c:v>45768</c:v>
                      </c:pt>
                      <c:pt idx="33">
                        <c:v>45763</c:v>
                      </c:pt>
                      <c:pt idx="34">
                        <c:v>45762</c:v>
                      </c:pt>
                      <c:pt idx="35">
                        <c:v>45761</c:v>
                      </c:pt>
                      <c:pt idx="36">
                        <c:v>45758</c:v>
                      </c:pt>
                      <c:pt idx="37">
                        <c:v>45757</c:v>
                      </c:pt>
                      <c:pt idx="38">
                        <c:v>45756</c:v>
                      </c:pt>
                      <c:pt idx="39">
                        <c:v>45755</c:v>
                      </c:pt>
                      <c:pt idx="40">
                        <c:v>45754</c:v>
                      </c:pt>
                      <c:pt idx="41">
                        <c:v>45751</c:v>
                      </c:pt>
                      <c:pt idx="42">
                        <c:v>45750</c:v>
                      </c:pt>
                      <c:pt idx="43">
                        <c:v>45748</c:v>
                      </c:pt>
                      <c:pt idx="44">
                        <c:v>45747</c:v>
                      </c:pt>
                      <c:pt idx="45">
                        <c:v>45744</c:v>
                      </c:pt>
                      <c:pt idx="46">
                        <c:v>45743</c:v>
                      </c:pt>
                      <c:pt idx="47">
                        <c:v>45742</c:v>
                      </c:pt>
                      <c:pt idx="48">
                        <c:v>45741</c:v>
                      </c:pt>
                      <c:pt idx="49">
                        <c:v>45737</c:v>
                      </c:pt>
                      <c:pt idx="50">
                        <c:v>45736</c:v>
                      </c:pt>
                      <c:pt idx="51">
                        <c:v>45735</c:v>
                      </c:pt>
                      <c:pt idx="52">
                        <c:v>45734</c:v>
                      </c:pt>
                      <c:pt idx="53">
                        <c:v>45733</c:v>
                      </c:pt>
                      <c:pt idx="54">
                        <c:v>45730</c:v>
                      </c:pt>
                      <c:pt idx="55">
                        <c:v>45729</c:v>
                      </c:pt>
                      <c:pt idx="56">
                        <c:v>45728</c:v>
                      </c:pt>
                      <c:pt idx="57">
                        <c:v>45727</c:v>
                      </c:pt>
                      <c:pt idx="58">
                        <c:v>45726</c:v>
                      </c:pt>
                      <c:pt idx="59">
                        <c:v>45723</c:v>
                      </c:pt>
                      <c:pt idx="60">
                        <c:v>45722</c:v>
                      </c:pt>
                      <c:pt idx="61">
                        <c:v>45721</c:v>
                      </c:pt>
                      <c:pt idx="62">
                        <c:v>45716</c:v>
                      </c:pt>
                      <c:pt idx="63">
                        <c:v>45715</c:v>
                      </c:pt>
                      <c:pt idx="64">
                        <c:v>45714</c:v>
                      </c:pt>
                      <c:pt idx="65">
                        <c:v>45713</c:v>
                      </c:pt>
                      <c:pt idx="66">
                        <c:v>45712</c:v>
                      </c:pt>
                      <c:pt idx="67">
                        <c:v>45709</c:v>
                      </c:pt>
                      <c:pt idx="68">
                        <c:v>45708</c:v>
                      </c:pt>
                      <c:pt idx="69">
                        <c:v>45707</c:v>
                      </c:pt>
                      <c:pt idx="70">
                        <c:v>45706</c:v>
                      </c:pt>
                      <c:pt idx="71">
                        <c:v>45705</c:v>
                      </c:pt>
                      <c:pt idx="72">
                        <c:v>45702</c:v>
                      </c:pt>
                      <c:pt idx="73">
                        <c:v>45701</c:v>
                      </c:pt>
                      <c:pt idx="74">
                        <c:v>45700</c:v>
                      </c:pt>
                      <c:pt idx="75">
                        <c:v>45699</c:v>
                      </c:pt>
                      <c:pt idx="76">
                        <c:v>45698</c:v>
                      </c:pt>
                      <c:pt idx="77">
                        <c:v>45695</c:v>
                      </c:pt>
                      <c:pt idx="78">
                        <c:v>45694</c:v>
                      </c:pt>
                      <c:pt idx="79">
                        <c:v>45693</c:v>
                      </c:pt>
                      <c:pt idx="80">
                        <c:v>45692</c:v>
                      </c:pt>
                      <c:pt idx="81">
                        <c:v>45691</c:v>
                      </c:pt>
                      <c:pt idx="82">
                        <c:v>45688</c:v>
                      </c:pt>
                      <c:pt idx="83">
                        <c:v>45687</c:v>
                      </c:pt>
                      <c:pt idx="84">
                        <c:v>45686</c:v>
                      </c:pt>
                      <c:pt idx="85">
                        <c:v>45685</c:v>
                      </c:pt>
                      <c:pt idx="86">
                        <c:v>45684</c:v>
                      </c:pt>
                      <c:pt idx="87">
                        <c:v>45681</c:v>
                      </c:pt>
                      <c:pt idx="88">
                        <c:v>45680</c:v>
                      </c:pt>
                      <c:pt idx="89">
                        <c:v>45679</c:v>
                      </c:pt>
                      <c:pt idx="90">
                        <c:v>45678</c:v>
                      </c:pt>
                      <c:pt idx="91">
                        <c:v>45677</c:v>
                      </c:pt>
                      <c:pt idx="92">
                        <c:v>45674</c:v>
                      </c:pt>
                      <c:pt idx="93">
                        <c:v>45673</c:v>
                      </c:pt>
                      <c:pt idx="94">
                        <c:v>45672</c:v>
                      </c:pt>
                      <c:pt idx="95">
                        <c:v>45671</c:v>
                      </c:pt>
                      <c:pt idx="96">
                        <c:v>45670</c:v>
                      </c:pt>
                      <c:pt idx="97">
                        <c:v>45667</c:v>
                      </c:pt>
                      <c:pt idx="98">
                        <c:v>45666</c:v>
                      </c:pt>
                      <c:pt idx="99">
                        <c:v>45665</c:v>
                      </c:pt>
                      <c:pt idx="100">
                        <c:v>45664</c:v>
                      </c:pt>
                      <c:pt idx="101">
                        <c:v>45663</c:v>
                      </c:pt>
                      <c:pt idx="102">
                        <c:v>45660</c:v>
                      </c:pt>
                      <c:pt idx="103">
                        <c:v>45659</c:v>
                      </c:pt>
                      <c:pt idx="104">
                        <c:v>45657</c:v>
                      </c:pt>
                      <c:pt idx="105">
                        <c:v>45656</c:v>
                      </c:pt>
                      <c:pt idx="106">
                        <c:v>45653</c:v>
                      </c:pt>
                      <c:pt idx="107">
                        <c:v>45652</c:v>
                      </c:pt>
                      <c:pt idx="108">
                        <c:v>45650</c:v>
                      </c:pt>
                      <c:pt idx="109">
                        <c:v>45649</c:v>
                      </c:pt>
                      <c:pt idx="110">
                        <c:v>45646</c:v>
                      </c:pt>
                      <c:pt idx="111">
                        <c:v>45645</c:v>
                      </c:pt>
                      <c:pt idx="112">
                        <c:v>45644</c:v>
                      </c:pt>
                      <c:pt idx="113">
                        <c:v>45643</c:v>
                      </c:pt>
                      <c:pt idx="114">
                        <c:v>45642</c:v>
                      </c:pt>
                      <c:pt idx="115">
                        <c:v>45639</c:v>
                      </c:pt>
                      <c:pt idx="116">
                        <c:v>45638</c:v>
                      </c:pt>
                      <c:pt idx="117">
                        <c:v>45637</c:v>
                      </c:pt>
                      <c:pt idx="118">
                        <c:v>45636</c:v>
                      </c:pt>
                      <c:pt idx="119">
                        <c:v>45635</c:v>
                      </c:pt>
                      <c:pt idx="120">
                        <c:v>45632</c:v>
                      </c:pt>
                      <c:pt idx="121">
                        <c:v>45631</c:v>
                      </c:pt>
                      <c:pt idx="122">
                        <c:v>45630</c:v>
                      </c:pt>
                      <c:pt idx="123">
                        <c:v>45629</c:v>
                      </c:pt>
                      <c:pt idx="124">
                        <c:v>45628</c:v>
                      </c:pt>
                      <c:pt idx="125">
                        <c:v>45625</c:v>
                      </c:pt>
                      <c:pt idx="126">
                        <c:v>45624</c:v>
                      </c:pt>
                      <c:pt idx="127">
                        <c:v>45623</c:v>
                      </c:pt>
                      <c:pt idx="128">
                        <c:v>45622</c:v>
                      </c:pt>
                      <c:pt idx="129">
                        <c:v>45621</c:v>
                      </c:pt>
                      <c:pt idx="130">
                        <c:v>45618</c:v>
                      </c:pt>
                      <c:pt idx="131">
                        <c:v>45617</c:v>
                      </c:pt>
                      <c:pt idx="132">
                        <c:v>45616</c:v>
                      </c:pt>
                      <c:pt idx="133">
                        <c:v>45615</c:v>
                      </c:pt>
                      <c:pt idx="134">
                        <c:v>45611</c:v>
                      </c:pt>
                      <c:pt idx="135">
                        <c:v>45610</c:v>
                      </c:pt>
                      <c:pt idx="136">
                        <c:v>45609</c:v>
                      </c:pt>
                      <c:pt idx="137">
                        <c:v>45608</c:v>
                      </c:pt>
                      <c:pt idx="138">
                        <c:v>45607</c:v>
                      </c:pt>
                      <c:pt idx="139">
                        <c:v>45604</c:v>
                      </c:pt>
                      <c:pt idx="140">
                        <c:v>45603</c:v>
                      </c:pt>
                      <c:pt idx="141">
                        <c:v>45602</c:v>
                      </c:pt>
                      <c:pt idx="142">
                        <c:v>45601</c:v>
                      </c:pt>
                      <c:pt idx="143">
                        <c:v>45600</c:v>
                      </c:pt>
                      <c:pt idx="144">
                        <c:v>45597</c:v>
                      </c:pt>
                      <c:pt idx="145">
                        <c:v>45596</c:v>
                      </c:pt>
                      <c:pt idx="146">
                        <c:v>45595</c:v>
                      </c:pt>
                      <c:pt idx="147">
                        <c:v>45594</c:v>
                      </c:pt>
                      <c:pt idx="148">
                        <c:v>45593</c:v>
                      </c:pt>
                      <c:pt idx="149">
                        <c:v>45590</c:v>
                      </c:pt>
                      <c:pt idx="150">
                        <c:v>45589</c:v>
                      </c:pt>
                      <c:pt idx="151">
                        <c:v>45588</c:v>
                      </c:pt>
                      <c:pt idx="152">
                        <c:v>45587</c:v>
                      </c:pt>
                      <c:pt idx="153">
                        <c:v>45586</c:v>
                      </c:pt>
                      <c:pt idx="154">
                        <c:v>45583</c:v>
                      </c:pt>
                      <c:pt idx="155">
                        <c:v>45582</c:v>
                      </c:pt>
                      <c:pt idx="156">
                        <c:v>45581</c:v>
                      </c:pt>
                      <c:pt idx="157">
                        <c:v>45580</c:v>
                      </c:pt>
                      <c:pt idx="158">
                        <c:v>45579</c:v>
                      </c:pt>
                      <c:pt idx="159">
                        <c:v>45575</c:v>
                      </c:pt>
                      <c:pt idx="160">
                        <c:v>45574</c:v>
                      </c:pt>
                      <c:pt idx="161">
                        <c:v>45573</c:v>
                      </c:pt>
                      <c:pt idx="162">
                        <c:v>45572</c:v>
                      </c:pt>
                      <c:pt idx="163">
                        <c:v>45569</c:v>
                      </c:pt>
                      <c:pt idx="164">
                        <c:v>45568</c:v>
                      </c:pt>
                      <c:pt idx="165">
                        <c:v>45567</c:v>
                      </c:pt>
                      <c:pt idx="166">
                        <c:v>45566</c:v>
                      </c:pt>
                      <c:pt idx="167">
                        <c:v>45565</c:v>
                      </c:pt>
                      <c:pt idx="168">
                        <c:v>45562</c:v>
                      </c:pt>
                      <c:pt idx="169">
                        <c:v>45561</c:v>
                      </c:pt>
                      <c:pt idx="170">
                        <c:v>45560</c:v>
                      </c:pt>
                      <c:pt idx="171">
                        <c:v>45559</c:v>
                      </c:pt>
                      <c:pt idx="172">
                        <c:v>45558</c:v>
                      </c:pt>
                      <c:pt idx="173">
                        <c:v>45555</c:v>
                      </c:pt>
                      <c:pt idx="174">
                        <c:v>45554</c:v>
                      </c:pt>
                      <c:pt idx="175">
                        <c:v>45553</c:v>
                      </c:pt>
                      <c:pt idx="176">
                        <c:v>45552</c:v>
                      </c:pt>
                      <c:pt idx="177">
                        <c:v>45551</c:v>
                      </c:pt>
                      <c:pt idx="178">
                        <c:v>45548</c:v>
                      </c:pt>
                      <c:pt idx="179">
                        <c:v>45547</c:v>
                      </c:pt>
                      <c:pt idx="180">
                        <c:v>45546</c:v>
                      </c:pt>
                      <c:pt idx="181">
                        <c:v>45545</c:v>
                      </c:pt>
                      <c:pt idx="182">
                        <c:v>45544</c:v>
                      </c:pt>
                      <c:pt idx="183">
                        <c:v>45541</c:v>
                      </c:pt>
                      <c:pt idx="184">
                        <c:v>45540</c:v>
                      </c:pt>
                      <c:pt idx="185">
                        <c:v>45539</c:v>
                      </c:pt>
                      <c:pt idx="186">
                        <c:v>45538</c:v>
                      </c:pt>
                      <c:pt idx="187">
                        <c:v>45537</c:v>
                      </c:pt>
                      <c:pt idx="188">
                        <c:v>45534</c:v>
                      </c:pt>
                      <c:pt idx="189">
                        <c:v>45533</c:v>
                      </c:pt>
                      <c:pt idx="190">
                        <c:v>45532</c:v>
                      </c:pt>
                      <c:pt idx="191">
                        <c:v>45531</c:v>
                      </c:pt>
                      <c:pt idx="192">
                        <c:v>45530</c:v>
                      </c:pt>
                      <c:pt idx="193">
                        <c:v>45527</c:v>
                      </c:pt>
                      <c:pt idx="194">
                        <c:v>45526</c:v>
                      </c:pt>
                      <c:pt idx="195">
                        <c:v>45525</c:v>
                      </c:pt>
                      <c:pt idx="196">
                        <c:v>45524</c:v>
                      </c:pt>
                      <c:pt idx="197">
                        <c:v>45523</c:v>
                      </c:pt>
                      <c:pt idx="198">
                        <c:v>45520</c:v>
                      </c:pt>
                      <c:pt idx="199">
                        <c:v>45519</c:v>
                      </c:pt>
                      <c:pt idx="200">
                        <c:v>45518</c:v>
                      </c:pt>
                      <c:pt idx="201">
                        <c:v>45517</c:v>
                      </c:pt>
                      <c:pt idx="202">
                        <c:v>45516</c:v>
                      </c:pt>
                      <c:pt idx="203">
                        <c:v>45513</c:v>
                      </c:pt>
                      <c:pt idx="204">
                        <c:v>45512</c:v>
                      </c:pt>
                      <c:pt idx="205">
                        <c:v>45511</c:v>
                      </c:pt>
                      <c:pt idx="206">
                        <c:v>45510</c:v>
                      </c:pt>
                      <c:pt idx="207">
                        <c:v>45509</c:v>
                      </c:pt>
                      <c:pt idx="208">
                        <c:v>45506</c:v>
                      </c:pt>
                      <c:pt idx="209">
                        <c:v>45505</c:v>
                      </c:pt>
                      <c:pt idx="210">
                        <c:v>45504</c:v>
                      </c:pt>
                      <c:pt idx="211">
                        <c:v>45503</c:v>
                      </c:pt>
                      <c:pt idx="212">
                        <c:v>45502</c:v>
                      </c:pt>
                      <c:pt idx="213">
                        <c:v>45499</c:v>
                      </c:pt>
                      <c:pt idx="214">
                        <c:v>45498</c:v>
                      </c:pt>
                      <c:pt idx="215">
                        <c:v>45497</c:v>
                      </c:pt>
                      <c:pt idx="216">
                        <c:v>45496</c:v>
                      </c:pt>
                      <c:pt idx="217">
                        <c:v>45495</c:v>
                      </c:pt>
                      <c:pt idx="218">
                        <c:v>45492</c:v>
                      </c:pt>
                      <c:pt idx="219">
                        <c:v>45491</c:v>
                      </c:pt>
                      <c:pt idx="220">
                        <c:v>45490</c:v>
                      </c:pt>
                      <c:pt idx="221">
                        <c:v>45489</c:v>
                      </c:pt>
                      <c:pt idx="222">
                        <c:v>45488</c:v>
                      </c:pt>
                      <c:pt idx="223">
                        <c:v>45485</c:v>
                      </c:pt>
                      <c:pt idx="224">
                        <c:v>45484</c:v>
                      </c:pt>
                      <c:pt idx="225">
                        <c:v>45483</c:v>
                      </c:pt>
                      <c:pt idx="226">
                        <c:v>45481</c:v>
                      </c:pt>
                      <c:pt idx="227">
                        <c:v>45478</c:v>
                      </c:pt>
                      <c:pt idx="228">
                        <c:v>45477</c:v>
                      </c:pt>
                      <c:pt idx="229">
                        <c:v>45476</c:v>
                      </c:pt>
                      <c:pt idx="230">
                        <c:v>45475</c:v>
                      </c:pt>
                      <c:pt idx="231">
                        <c:v>45474</c:v>
                      </c:pt>
                      <c:pt idx="232">
                        <c:v>45471</c:v>
                      </c:pt>
                      <c:pt idx="233">
                        <c:v>45470</c:v>
                      </c:pt>
                      <c:pt idx="234">
                        <c:v>45469</c:v>
                      </c:pt>
                      <c:pt idx="235">
                        <c:v>45468</c:v>
                      </c:pt>
                      <c:pt idx="236">
                        <c:v>45467</c:v>
                      </c:pt>
                      <c:pt idx="237">
                        <c:v>45462</c:v>
                      </c:pt>
                      <c:pt idx="238">
                        <c:v>45461</c:v>
                      </c:pt>
                      <c:pt idx="239">
                        <c:v>45457</c:v>
                      </c:pt>
                      <c:pt idx="240">
                        <c:v>45456</c:v>
                      </c:pt>
                      <c:pt idx="241">
                        <c:v>45455</c:v>
                      </c:pt>
                      <c:pt idx="242">
                        <c:v>45454</c:v>
                      </c:pt>
                      <c:pt idx="243">
                        <c:v>45453</c:v>
                      </c:pt>
                      <c:pt idx="244">
                        <c:v>45450</c:v>
                      </c:pt>
                      <c:pt idx="245">
                        <c:v>45449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'1) Estadística'!$H$10:$H$255</c15:sqref>
                        </c15:formulaRef>
                      </c:ext>
                    </c:extLst>
                    <c:numCache>
                      <c:formatCode>0.00</c:formatCode>
                      <c:ptCount val="246"/>
                      <c:pt idx="0">
                        <c:v>1808.7709661187519</c:v>
                      </c:pt>
                      <c:pt idx="1">
                        <c:v>1781.4421577014039</c:v>
                      </c:pt>
                      <c:pt idx="2">
                        <c:v>1782.5005028410519</c:v>
                      </c:pt>
                      <c:pt idx="3">
                        <c:v>1869.9622584414165</c:v>
                      </c:pt>
                      <c:pt idx="4">
                        <c:v>1863.7679720894087</c:v>
                      </c:pt>
                      <c:pt idx="5">
                        <c:v>1912.3548316718691</c:v>
                      </c:pt>
                      <c:pt idx="6">
                        <c:v>1952.8350537270496</c:v>
                      </c:pt>
                      <c:pt idx="7">
                        <c:v>2012.6455185439561</c:v>
                      </c:pt>
                      <c:pt idx="8">
                        <c:v>2027.9843709635754</c:v>
                      </c:pt>
                      <c:pt idx="9">
                        <c:v>2069.8084545406923</c:v>
                      </c:pt>
                      <c:pt idx="10">
                        <c:v>2051.8334761921424</c:v>
                      </c:pt>
                      <c:pt idx="11">
                        <c:v>2024.4138558273355</c:v>
                      </c:pt>
                      <c:pt idx="12">
                        <c:v>2019.1055884401114</c:v>
                      </c:pt>
                      <c:pt idx="13">
                        <c:v>2062.2579834045764</c:v>
                      </c:pt>
                      <c:pt idx="14">
                        <c:v>2062.645481689111</c:v>
                      </c:pt>
                      <c:pt idx="15">
                        <c:v>2007.0295726850891</c:v>
                      </c:pt>
                      <c:pt idx="16">
                        <c:v>2014.5785857027661</c:v>
                      </c:pt>
                      <c:pt idx="17">
                        <c:v>2017.3572643130103</c:v>
                      </c:pt>
                      <c:pt idx="18">
                        <c:v>2003.1932563194614</c:v>
                      </c:pt>
                      <c:pt idx="19">
                        <c:v>1954.4293287767262</c:v>
                      </c:pt>
                      <c:pt idx="20">
                        <c:v>1848.0613752174181</c:v>
                      </c:pt>
                      <c:pt idx="21">
                        <c:v>1803.2766417101075</c:v>
                      </c:pt>
                      <c:pt idx="22">
                        <c:v>1781.8253911960348</c:v>
                      </c:pt>
                      <c:pt idx="23">
                        <c:v>1775.5724777219264</c:v>
                      </c:pt>
                      <c:pt idx="24">
                        <c:v>1712.4427476473911</c:v>
                      </c:pt>
                      <c:pt idx="25">
                        <c:v>1775.30590601418</c:v>
                      </c:pt>
                      <c:pt idx="26">
                        <c:v>1840.2145931892767</c:v>
                      </c:pt>
                      <c:pt idx="27">
                        <c:v>1852.236411542221</c:v>
                      </c:pt>
                      <c:pt idx="28">
                        <c:v>1879.0471103830305</c:v>
                      </c:pt>
                      <c:pt idx="29">
                        <c:v>1881.7436137307948</c:v>
                      </c:pt>
                      <c:pt idx="30">
                        <c:v>1917.2962328767123</c:v>
                      </c:pt>
                      <c:pt idx="31">
                        <c:v>1897.5174941686103</c:v>
                      </c:pt>
                      <c:pt idx="32">
                        <c:v>1823.1386175673749</c:v>
                      </c:pt>
                      <c:pt idx="33">
                        <c:v>1868.0152324753628</c:v>
                      </c:pt>
                      <c:pt idx="34">
                        <c:v>1845.285968171904</c:v>
                      </c:pt>
                      <c:pt idx="35">
                        <c:v>1886.8278283070049</c:v>
                      </c:pt>
                      <c:pt idx="36">
                        <c:v>1686.6064665161664</c:v>
                      </c:pt>
                      <c:pt idx="37">
                        <c:v>1548.0020307769005</c:v>
                      </c:pt>
                      <c:pt idx="38">
                        <c:v>1627.4461139432967</c:v>
                      </c:pt>
                      <c:pt idx="39">
                        <c:v>1446.062887736274</c:v>
                      </c:pt>
                      <c:pt idx="40">
                        <c:v>1478.4305104535338</c:v>
                      </c:pt>
                      <c:pt idx="41">
                        <c:v>1572.4806779863327</c:v>
                      </c:pt>
                      <c:pt idx="42">
                        <c:v>1724.7417425838626</c:v>
                      </c:pt>
                      <c:pt idx="43">
                        <c:v>1792.7611508821046</c:v>
                      </c:pt>
                      <c:pt idx="44">
                        <c:v>1779.9194426052345</c:v>
                      </c:pt>
                      <c:pt idx="45">
                        <c:v>1826.2359494487268</c:v>
                      </c:pt>
                      <c:pt idx="46">
                        <c:v>1866.5171904139165</c:v>
                      </c:pt>
                      <c:pt idx="47">
                        <c:v>1883.2276575874284</c:v>
                      </c:pt>
                      <c:pt idx="48">
                        <c:v>1922.0271575368927</c:v>
                      </c:pt>
                      <c:pt idx="49">
                        <c:v>1890.5379422320971</c:v>
                      </c:pt>
                      <c:pt idx="50">
                        <c:v>1834.1110135990496</c:v>
                      </c:pt>
                      <c:pt idx="51">
                        <c:v>1859.504967427976</c:v>
                      </c:pt>
                      <c:pt idx="52">
                        <c:v>1761.3351599298096</c:v>
                      </c:pt>
                      <c:pt idx="53">
                        <c:v>1876.1588530213739</c:v>
                      </c:pt>
                      <c:pt idx="54">
                        <c:v>1886.9061949619481</c:v>
                      </c:pt>
                      <c:pt idx="55">
                        <c:v>1809.5577803899316</c:v>
                      </c:pt>
                      <c:pt idx="56">
                        <c:v>1848.9081539687963</c:v>
                      </c:pt>
                      <c:pt idx="57">
                        <c:v>1755.1486126237421</c:v>
                      </c:pt>
                      <c:pt idx="58">
                        <c:v>1740.427570549751</c:v>
                      </c:pt>
                      <c:pt idx="59">
                        <c:v>1851.4065863019975</c:v>
                      </c:pt>
                      <c:pt idx="60">
                        <c:v>1833.9563844053448</c:v>
                      </c:pt>
                      <c:pt idx="61">
                        <c:v>1853.8261650921631</c:v>
                      </c:pt>
                      <c:pt idx="62">
                        <c:v>1795.5526341495181</c:v>
                      </c:pt>
                      <c:pt idx="63">
                        <c:v>1805.0479720889664</c:v>
                      </c:pt>
                      <c:pt idx="64">
                        <c:v>1877.7747284492721</c:v>
                      </c:pt>
                      <c:pt idx="65">
                        <c:v>1883.641993135087</c:v>
                      </c:pt>
                      <c:pt idx="66">
                        <c:v>1944.875691522841</c:v>
                      </c:pt>
                      <c:pt idx="67">
                        <c:v>1960.833167479351</c:v>
                      </c:pt>
                      <c:pt idx="68">
                        <c:v>1998.4254514700763</c:v>
                      </c:pt>
                      <c:pt idx="69">
                        <c:v>1998.2192185445895</c:v>
                      </c:pt>
                      <c:pt idx="70">
                        <c:v>1987.8692360118353</c:v>
                      </c:pt>
                      <c:pt idx="71">
                        <c:v>1862.8273516845857</c:v>
                      </c:pt>
                      <c:pt idx="72">
                        <c:v>2016.5774825151195</c:v>
                      </c:pt>
                      <c:pt idx="73">
                        <c:v>1981.4492503514634</c:v>
                      </c:pt>
                      <c:pt idx="74">
                        <c:v>1926.7893117545414</c:v>
                      </c:pt>
                      <c:pt idx="75">
                        <c:v>1925.3656264555195</c:v>
                      </c:pt>
                      <c:pt idx="76">
                        <c:v>2019.6166611771264</c:v>
                      </c:pt>
                      <c:pt idx="77">
                        <c:v>2022.9739968354165</c:v>
                      </c:pt>
                      <c:pt idx="78">
                        <c:v>2105.4838818196345</c:v>
                      </c:pt>
                      <c:pt idx="79">
                        <c:v>2078.7237612631507</c:v>
                      </c:pt>
                      <c:pt idx="80">
                        <c:v>2124.2819865319866</c:v>
                      </c:pt>
                      <c:pt idx="81">
                        <c:v>2107.307095230824</c:v>
                      </c:pt>
                      <c:pt idx="82">
                        <c:v>2201.8209290945151</c:v>
                      </c:pt>
                      <c:pt idx="83">
                        <c:v>2231.393951360214</c:v>
                      </c:pt>
                      <c:pt idx="84">
                        <c:v>2187.9345172603494</c:v>
                      </c:pt>
                      <c:pt idx="85">
                        <c:v>2097.1850298782483</c:v>
                      </c:pt>
                      <c:pt idx="86">
                        <c:v>2098.6549448469309</c:v>
                      </c:pt>
                      <c:pt idx="87">
                        <c:v>2220.2744970798185</c:v>
                      </c:pt>
                      <c:pt idx="88">
                        <c:v>2248.7257463485676</c:v>
                      </c:pt>
                      <c:pt idx="89">
                        <c:v>2286.1894224291573</c:v>
                      </c:pt>
                      <c:pt idx="90">
                        <c:v>2243.6594839030158</c:v>
                      </c:pt>
                      <c:pt idx="91">
                        <c:v>2175.8619950253023</c:v>
                      </c:pt>
                      <c:pt idx="92">
                        <c:v>2153.7140602484046</c:v>
                      </c:pt>
                      <c:pt idx="93">
                        <c:v>2254.982290335583</c:v>
                      </c:pt>
                      <c:pt idx="94">
                        <c:v>2323.3312572484001</c:v>
                      </c:pt>
                      <c:pt idx="95">
                        <c:v>2350.3334250556782</c:v>
                      </c:pt>
                      <c:pt idx="96">
                        <c:v>2282.6303934801108</c:v>
                      </c:pt>
                      <c:pt idx="97">
                        <c:v>2409.8931710208676</c:v>
                      </c:pt>
                      <c:pt idx="98">
                        <c:v>2430.6431939803638</c:v>
                      </c:pt>
                      <c:pt idx="99">
                        <c:v>2388.9664468713509</c:v>
                      </c:pt>
                      <c:pt idx="100">
                        <c:v>2423.7780945919253</c:v>
                      </c:pt>
                      <c:pt idx="101">
                        <c:v>2404.2955908985573</c:v>
                      </c:pt>
                      <c:pt idx="102">
                        <c:v>2340.6448348028953</c:v>
                      </c:pt>
                      <c:pt idx="103">
                        <c:v>2319.5939317798507</c:v>
                      </c:pt>
                      <c:pt idx="104">
                        <c:v>2319</c:v>
                      </c:pt>
                      <c:pt idx="105">
                        <c:v>2164.7412018010782</c:v>
                      </c:pt>
                      <c:pt idx="106">
                        <c:v>2201.9766180289776</c:v>
                      </c:pt>
                      <c:pt idx="107">
                        <c:v>2218.3027440664791</c:v>
                      </c:pt>
                      <c:pt idx="108">
                        <c:v>2197.3181908231909</c:v>
                      </c:pt>
                      <c:pt idx="109">
                        <c:v>2151.8996816656631</c:v>
                      </c:pt>
                      <c:pt idx="110">
                        <c:v>2160.3589563999299</c:v>
                      </c:pt>
                      <c:pt idx="111">
                        <c:v>2139.246501471901</c:v>
                      </c:pt>
                      <c:pt idx="112">
                        <c:v>2228.5819734445995</c:v>
                      </c:pt>
                      <c:pt idx="113">
                        <c:v>2263.4166040899008</c:v>
                      </c:pt>
                      <c:pt idx="114">
                        <c:v>2311.4344660855973</c:v>
                      </c:pt>
                      <c:pt idx="115">
                        <c:v>2209.2125004659488</c:v>
                      </c:pt>
                      <c:pt idx="116">
                        <c:v>2177.3461789247881</c:v>
                      </c:pt>
                      <c:pt idx="117">
                        <c:v>2166.1207597473813</c:v>
                      </c:pt>
                      <c:pt idx="118">
                        <c:v>2075.6287010145966</c:v>
                      </c:pt>
                      <c:pt idx="119">
                        <c:v>2124.1184683268052</c:v>
                      </c:pt>
                      <c:pt idx="120">
                        <c:v>2098.9052538286337</c:v>
                      </c:pt>
                      <c:pt idx="121">
                        <c:v>2082.1561723280861</c:v>
                      </c:pt>
                      <c:pt idx="122">
                        <c:v>2059.0870449857853</c:v>
                      </c:pt>
                      <c:pt idx="123">
                        <c:v>2141.9513782364152</c:v>
                      </c:pt>
                      <c:pt idx="124">
                        <c:v>2147.490854999111</c:v>
                      </c:pt>
                      <c:pt idx="125">
                        <c:v>2099.2554101286532</c:v>
                      </c:pt>
                      <c:pt idx="126">
                        <c:v>2074.8762963307445</c:v>
                      </c:pt>
                      <c:pt idx="127">
                        <c:v>2052.1351932328939</c:v>
                      </c:pt>
                      <c:pt idx="128">
                        <c:v>2092.9508326208975</c:v>
                      </c:pt>
                      <c:pt idx="129">
                        <c:v>2058.8271868445963</c:v>
                      </c:pt>
                      <c:pt idx="130">
                        <c:v>2047.378748611625</c:v>
                      </c:pt>
                      <c:pt idx="131">
                        <c:v>1983.4990036609665</c:v>
                      </c:pt>
                      <c:pt idx="132">
                        <c:v>1996.512801667194</c:v>
                      </c:pt>
                      <c:pt idx="133">
                        <c:v>1975.977100230672</c:v>
                      </c:pt>
                      <c:pt idx="134">
                        <c:v>1885.8371653801937</c:v>
                      </c:pt>
                      <c:pt idx="135">
                        <c:v>1887.9915261134975</c:v>
                      </c:pt>
                      <c:pt idx="136">
                        <c:v>1821.9006163534357</c:v>
                      </c:pt>
                      <c:pt idx="137">
                        <c:v>1789.4351476342936</c:v>
                      </c:pt>
                      <c:pt idx="138">
                        <c:v>1757.2428949020091</c:v>
                      </c:pt>
                      <c:pt idx="139">
                        <c:v>1738.1766501504158</c:v>
                      </c:pt>
                      <c:pt idx="140">
                        <c:v>1774.2742013574064</c:v>
                      </c:pt>
                      <c:pt idx="141">
                        <c:v>1725.2598870549625</c:v>
                      </c:pt>
                      <c:pt idx="142">
                        <c:v>1674.279263112267</c:v>
                      </c:pt>
                      <c:pt idx="143">
                        <c:v>1666.5213540128871</c:v>
                      </c:pt>
                      <c:pt idx="144">
                        <c:v>1640.1394470279276</c:v>
                      </c:pt>
                      <c:pt idx="145">
                        <c:v>1633.9457426687643</c:v>
                      </c:pt>
                      <c:pt idx="146">
                        <c:v>1614.2519238878349</c:v>
                      </c:pt>
                      <c:pt idx="147">
                        <c:v>1621.5706215185646</c:v>
                      </c:pt>
                      <c:pt idx="148">
                        <c:v>1632.821730236823</c:v>
                      </c:pt>
                      <c:pt idx="149">
                        <c:v>1640.1893747646282</c:v>
                      </c:pt>
                      <c:pt idx="150">
                        <c:v>1594.8230603448276</c:v>
                      </c:pt>
                      <c:pt idx="151">
                        <c:v>1526.9654902365769</c:v>
                      </c:pt>
                      <c:pt idx="152">
                        <c:v>1555.5816845529575</c:v>
                      </c:pt>
                      <c:pt idx="153">
                        <c:v>1558.9432233648138</c:v>
                      </c:pt>
                      <c:pt idx="154">
                        <c:v>1573.1243259566024</c:v>
                      </c:pt>
                      <c:pt idx="155">
                        <c:v>1553.6425319075543</c:v>
                      </c:pt>
                      <c:pt idx="156">
                        <c:v>1531.2318409504348</c:v>
                      </c:pt>
                      <c:pt idx="157">
                        <c:v>1593.3279820336693</c:v>
                      </c:pt>
                      <c:pt idx="158">
                        <c:v>1577.4509826205544</c:v>
                      </c:pt>
                      <c:pt idx="159">
                        <c:v>1571.1370149095908</c:v>
                      </c:pt>
                      <c:pt idx="160">
                        <c:v>1544.302553599442</c:v>
                      </c:pt>
                      <c:pt idx="161">
                        <c:v>1480.3851343263163</c:v>
                      </c:pt>
                      <c:pt idx="162">
                        <c:v>1448.0509007068838</c:v>
                      </c:pt>
                      <c:pt idx="163">
                        <c:v>1479.1451933441122</c:v>
                      </c:pt>
                      <c:pt idx="164">
                        <c:v>1472.6302549213754</c:v>
                      </c:pt>
                      <c:pt idx="165">
                        <c:v>1420.4097688631978</c:v>
                      </c:pt>
                      <c:pt idx="166">
                        <c:v>1416.9360200644226</c:v>
                      </c:pt>
                      <c:pt idx="167">
                        <c:v>1397.0030616527986</c:v>
                      </c:pt>
                      <c:pt idx="168">
                        <c:v>1430.5746222314222</c:v>
                      </c:pt>
                      <c:pt idx="169">
                        <c:v>1416.7972500929022</c:v>
                      </c:pt>
                      <c:pt idx="170">
                        <c:v>1441.6809942221378</c:v>
                      </c:pt>
                      <c:pt idx="171">
                        <c:v>1476.2695215991612</c:v>
                      </c:pt>
                      <c:pt idx="172">
                        <c:v>1486.1968420266153</c:v>
                      </c:pt>
                      <c:pt idx="173">
                        <c:v>1518.9802933088911</c:v>
                      </c:pt>
                      <c:pt idx="174">
                        <c:v>1542.1152587372885</c:v>
                      </c:pt>
                      <c:pt idx="175">
                        <c:v>1504.1591089896579</c:v>
                      </c:pt>
                      <c:pt idx="176">
                        <c:v>1493.606470956476</c:v>
                      </c:pt>
                      <c:pt idx="177">
                        <c:v>1491.1923633731451</c:v>
                      </c:pt>
                      <c:pt idx="178">
                        <c:v>1482.0134851980793</c:v>
                      </c:pt>
                      <c:pt idx="179">
                        <c:v>1444.2008987639977</c:v>
                      </c:pt>
                      <c:pt idx="180">
                        <c:v>1434.0642680626909</c:v>
                      </c:pt>
                      <c:pt idx="181">
                        <c:v>1393.9605994603555</c:v>
                      </c:pt>
                      <c:pt idx="182">
                        <c:v>1417.5859411946967</c:v>
                      </c:pt>
                      <c:pt idx="183">
                        <c:v>1384.1221349497939</c:v>
                      </c:pt>
                      <c:pt idx="184">
                        <c:v>1402.4761284377435</c:v>
                      </c:pt>
                      <c:pt idx="185">
                        <c:v>1404.0193539817478</c:v>
                      </c:pt>
                      <c:pt idx="186">
                        <c:v>1340.5226889977287</c:v>
                      </c:pt>
                      <c:pt idx="187">
                        <c:v>1365.6180730111048</c:v>
                      </c:pt>
                      <c:pt idx="188">
                        <c:v>1341.8891996624893</c:v>
                      </c:pt>
                      <c:pt idx="189">
                        <c:v>1305.8324746525293</c:v>
                      </c:pt>
                      <c:pt idx="190">
                        <c:v>1261.548116893752</c:v>
                      </c:pt>
                      <c:pt idx="191">
                        <c:v>1256.5282967524238</c:v>
                      </c:pt>
                      <c:pt idx="192">
                        <c:v>1236.5631670871337</c:v>
                      </c:pt>
                      <c:pt idx="193">
                        <c:v>1252.800639276526</c:v>
                      </c:pt>
                      <c:pt idx="194">
                        <c:v>1229.25732721336</c:v>
                      </c:pt>
                      <c:pt idx="195">
                        <c:v>1254.945329978711</c:v>
                      </c:pt>
                      <c:pt idx="196">
                        <c:v>1288.4368545293598</c:v>
                      </c:pt>
                      <c:pt idx="197">
                        <c:v>1284.4544066351446</c:v>
                      </c:pt>
                      <c:pt idx="198">
                        <c:v>1273.3184436037984</c:v>
                      </c:pt>
                      <c:pt idx="199">
                        <c:v>1288.0913015882966</c:v>
                      </c:pt>
                      <c:pt idx="200">
                        <c:v>1266.7855155618256</c:v>
                      </c:pt>
                      <c:pt idx="201">
                        <c:v>1250.8521717263004</c:v>
                      </c:pt>
                      <c:pt idx="202">
                        <c:v>1237.1278311986607</c:v>
                      </c:pt>
                      <c:pt idx="203">
                        <c:v>1220.0042210017946</c:v>
                      </c:pt>
                      <c:pt idx="204">
                        <c:v>1167.8169712694112</c:v>
                      </c:pt>
                      <c:pt idx="205">
                        <c:v>1090.2516986373362</c:v>
                      </c:pt>
                      <c:pt idx="206">
                        <c:v>1090.669709667764</c:v>
                      </c:pt>
                      <c:pt idx="207">
                        <c:v>1055.2957083107372</c:v>
                      </c:pt>
                      <c:pt idx="208">
                        <c:v>1074.442955233726</c:v>
                      </c:pt>
                      <c:pt idx="209">
                        <c:v>1153.8884274001261</c:v>
                      </c:pt>
                      <c:pt idx="210">
                        <c:v>1145.7659684689909</c:v>
                      </c:pt>
                      <c:pt idx="211">
                        <c:v>1113.5718127686421</c:v>
                      </c:pt>
                      <c:pt idx="212">
                        <c:v>1142.4307981828981</c:v>
                      </c:pt>
                      <c:pt idx="213">
                        <c:v>1165.417186260061</c:v>
                      </c:pt>
                      <c:pt idx="214">
                        <c:v>1154.197648506494</c:v>
                      </c:pt>
                      <c:pt idx="215">
                        <c:v>1182.8792906221261</c:v>
                      </c:pt>
                      <c:pt idx="216">
                        <c:v>1234.5083096848205</c:v>
                      </c:pt>
                      <c:pt idx="217">
                        <c:v>1192.7724487576593</c:v>
                      </c:pt>
                      <c:pt idx="218">
                        <c:v>1178.2073665239918</c:v>
                      </c:pt>
                      <c:pt idx="219">
                        <c:v>1162.3220962677433</c:v>
                      </c:pt>
                      <c:pt idx="220">
                        <c:v>1172.689423076923</c:v>
                      </c:pt>
                      <c:pt idx="221">
                        <c:v>1193.3852487215975</c:v>
                      </c:pt>
                      <c:pt idx="222">
                        <c:v>1151.0041757804734</c:v>
                      </c:pt>
                      <c:pt idx="223">
                        <c:v>1211.4007710666422</c:v>
                      </c:pt>
                      <c:pt idx="224">
                        <c:v>1215.4493241076582</c:v>
                      </c:pt>
                      <c:pt idx="225">
                        <c:v>1226.9647666964331</c:v>
                      </c:pt>
                      <c:pt idx="226">
                        <c:v>1184.8500425421455</c:v>
                      </c:pt>
                      <c:pt idx="227">
                        <c:v>1166.7259926660172</c:v>
                      </c:pt>
                      <c:pt idx="228">
                        <c:v>1155.5260733119339</c:v>
                      </c:pt>
                      <c:pt idx="229">
                        <c:v>1159.8676311030742</c:v>
                      </c:pt>
                      <c:pt idx="230">
                        <c:v>1145.563144925304</c:v>
                      </c:pt>
                      <c:pt idx="231">
                        <c:v>1128.6069313026801</c:v>
                      </c:pt>
                      <c:pt idx="232">
                        <c:v>1195.3582673076351</c:v>
                      </c:pt>
                      <c:pt idx="233">
                        <c:v>1228.0153908525781</c:v>
                      </c:pt>
                      <c:pt idx="234">
                        <c:v>1181.9208710861551</c:v>
                      </c:pt>
                      <c:pt idx="235">
                        <c:v>1199.8718477604871</c:v>
                      </c:pt>
                      <c:pt idx="236">
                        <c:v>1204.1717854881795</c:v>
                      </c:pt>
                      <c:pt idx="237">
                        <c:v>1237.5961721135805</c:v>
                      </c:pt>
                      <c:pt idx="238">
                        <c:v>1250.4553468915847</c:v>
                      </c:pt>
                      <c:pt idx="239">
                        <c:v>1271.3491451343359</c:v>
                      </c:pt>
                      <c:pt idx="240">
                        <c:v>1293.3755378293449</c:v>
                      </c:pt>
                      <c:pt idx="241">
                        <c:v>1226.0906531971789</c:v>
                      </c:pt>
                      <c:pt idx="242">
                        <c:v>1212.7084151032261</c:v>
                      </c:pt>
                      <c:pt idx="243">
                        <c:v>1238.8741268082631</c:v>
                      </c:pt>
                      <c:pt idx="244">
                        <c:v>1184.7255620628075</c:v>
                      </c:pt>
                      <c:pt idx="245">
                        <c:v>1182.1671056045157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BE8-46F5-A861-29D6F2ABEB9C}"/>
                  </c:ext>
                </c:extLst>
              </c15:ser>
            </c15:filteredLineSeries>
          </c:ext>
        </c:extLst>
      </c:lineChart>
      <c:dateAx>
        <c:axId val="770860288"/>
        <c:scaling>
          <c:orientation val="minMax"/>
        </c:scaling>
        <c:delete val="0"/>
        <c:axPos val="b"/>
        <c:numFmt formatCode="[$-C0A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70858624"/>
        <c:crosses val="autoZero"/>
        <c:auto val="1"/>
        <c:lblOffset val="100"/>
        <c:baseTimeUnit val="days"/>
      </c:dateAx>
      <c:valAx>
        <c:axId val="770858624"/>
        <c:scaling>
          <c:orientation val="minMax"/>
        </c:scaling>
        <c:delete val="0"/>
        <c:axPos val="l"/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70860288"/>
        <c:crosses val="autoZero"/>
        <c:crossBetween val="between"/>
      </c:valAx>
      <c:valAx>
        <c:axId val="1147303440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47293456"/>
        <c:crosses val="max"/>
        <c:crossBetween val="between"/>
      </c:valAx>
      <c:dateAx>
        <c:axId val="1147293456"/>
        <c:scaling>
          <c:orientation val="minMax"/>
        </c:scaling>
        <c:delete val="1"/>
        <c:axPos val="b"/>
        <c:numFmt formatCode="[$-C0A]mmm\-yy;@" sourceLinked="1"/>
        <c:majorTickMark val="out"/>
        <c:minorTickMark val="none"/>
        <c:tickLblPos val="nextTo"/>
        <c:crossAx val="114730344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8268261278660922"/>
          <c:y val="0.89872642739523578"/>
          <c:w val="0.36392083065088554"/>
          <c:h val="0.101273572604764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100"/>
              <a:t>Participación de mercado según unidades producidas de cada empresa nacional.</a:t>
            </a:r>
          </a:p>
        </c:rich>
      </c:tx>
      <c:layout>
        <c:manualLayout>
          <c:xMode val="edge"/>
          <c:yMode val="edge"/>
          <c:x val="0.14178313688778707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23059647248632081"/>
          <c:y val="0.26714421114027409"/>
          <c:w val="0.3666189851268592"/>
          <c:h val="0.6110316418780986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4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BD8-4D61-8E79-0EF83F99AE0C}"/>
              </c:ext>
            </c:extLst>
          </c:dPt>
          <c:dPt>
            <c:idx val="1"/>
            <c:bubble3D val="0"/>
            <c:spPr>
              <a:solidFill>
                <a:schemeClr val="accent1">
                  <a:shade val="5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BD8-4D61-8E79-0EF83F99AE0C}"/>
              </c:ext>
            </c:extLst>
          </c:dPt>
          <c:dPt>
            <c:idx val="2"/>
            <c:bubble3D val="0"/>
            <c:spPr>
              <a:solidFill>
                <a:schemeClr val="accent1">
                  <a:shade val="6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BD8-4D61-8E79-0EF83F99AE0C}"/>
              </c:ext>
            </c:extLst>
          </c:dPt>
          <c:dPt>
            <c:idx val="3"/>
            <c:bubble3D val="0"/>
            <c:spPr>
              <a:solidFill>
                <a:schemeClr val="accent1">
                  <a:shade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BD8-4D61-8E79-0EF83F99AE0C}"/>
              </c:ext>
            </c:extLst>
          </c:dPt>
          <c:dPt>
            <c:idx val="4"/>
            <c:bubble3D val="0"/>
            <c:spPr>
              <a:solidFill>
                <a:schemeClr val="accent1">
                  <a:shade val="9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BD8-4D61-8E79-0EF83F99AE0C}"/>
              </c:ext>
            </c:extLst>
          </c:dPt>
          <c:dPt>
            <c:idx val="5"/>
            <c:bubble3D val="0"/>
            <c:spPr>
              <a:solidFill>
                <a:schemeClr val="accent1">
                  <a:tint val="9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BD8-4D61-8E79-0EF83F99AE0C}"/>
              </c:ext>
            </c:extLst>
          </c:dPt>
          <c:dPt>
            <c:idx val="6"/>
            <c:bubble3D val="0"/>
            <c:spPr>
              <a:solidFill>
                <a:schemeClr val="accent1">
                  <a:tint val="8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BD8-4D61-8E79-0EF83F99AE0C}"/>
              </c:ext>
            </c:extLst>
          </c:dPt>
          <c:dPt>
            <c:idx val="7"/>
            <c:bubble3D val="0"/>
            <c:spPr>
              <a:solidFill>
                <a:schemeClr val="accent1">
                  <a:tint val="69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BD8-4D61-8E79-0EF83F99AE0C}"/>
              </c:ext>
            </c:extLst>
          </c:dPt>
          <c:dPt>
            <c:idx val="8"/>
            <c:bubble3D val="0"/>
            <c:spPr>
              <a:solidFill>
                <a:schemeClr val="accent1">
                  <a:tint val="5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BD8-4D61-8E79-0EF83F99AE0C}"/>
              </c:ext>
            </c:extLst>
          </c:dPt>
          <c:dPt>
            <c:idx val="9"/>
            <c:bubble3D val="0"/>
            <c:spPr>
              <a:solidFill>
                <a:schemeClr val="accent1">
                  <a:tint val="4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BD8-4D61-8E79-0EF83F99AE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'2) Research'!$K$30:$K$39</c:f>
              <c:strCache>
                <c:ptCount val="10"/>
                <c:pt idx="0">
                  <c:v>John Deere</c:v>
                </c:pt>
                <c:pt idx="1">
                  <c:v>New Holland</c:v>
                </c:pt>
                <c:pt idx="2">
                  <c:v>Case IH</c:v>
                </c:pt>
                <c:pt idx="3">
                  <c:v>Crucianelli</c:v>
                </c:pt>
                <c:pt idx="4">
                  <c:v>Pauny</c:v>
                </c:pt>
                <c:pt idx="5">
                  <c:v>Metlflor</c:v>
                </c:pt>
                <c:pt idx="6">
                  <c:v>Agrometal</c:v>
                </c:pt>
                <c:pt idx="7">
                  <c:v>Pla</c:v>
                </c:pt>
                <c:pt idx="8">
                  <c:v>Massey Ferguson</c:v>
                </c:pt>
                <c:pt idx="9">
                  <c:v>Mainero</c:v>
                </c:pt>
              </c:strCache>
            </c:strRef>
          </c:cat>
          <c:val>
            <c:numRef>
              <c:f>'2) Research'!$M$30:$M$39</c:f>
              <c:numCache>
                <c:formatCode>0.00%</c:formatCode>
                <c:ptCount val="10"/>
                <c:pt idx="0">
                  <c:v>0.23699999999999999</c:v>
                </c:pt>
                <c:pt idx="1">
                  <c:v>0.105</c:v>
                </c:pt>
                <c:pt idx="2">
                  <c:v>0.11600000000000001</c:v>
                </c:pt>
                <c:pt idx="3">
                  <c:v>5.7000000000000002E-2</c:v>
                </c:pt>
                <c:pt idx="4">
                  <c:v>0.06</c:v>
                </c:pt>
                <c:pt idx="5">
                  <c:v>3.4000000000000002E-2</c:v>
                </c:pt>
                <c:pt idx="6">
                  <c:v>4.6838747099767979E-2</c:v>
                </c:pt>
                <c:pt idx="7">
                  <c:v>2.9000000000000001E-2</c:v>
                </c:pt>
                <c:pt idx="8">
                  <c:v>2.9000000000000001E-2</c:v>
                </c:pt>
                <c:pt idx="9">
                  <c:v>2.5999999999999999E-2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09-4F06-A07D-DCB3BB8239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1">
                        <a:shade val="42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5-ABD8-4D61-8E79-0EF83F99AE0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1">
                        <a:shade val="55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7-ABD8-4D61-8E79-0EF83F99AE0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1">
                        <a:shade val="68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9-ABD8-4D61-8E79-0EF83F99AE0C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1">
                        <a:shade val="8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B-ABD8-4D61-8E79-0EF83F99AE0C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1">
                        <a:shade val="93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D-ABD8-4D61-8E79-0EF83F99AE0C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1">
                        <a:tint val="94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F-ABD8-4D61-8E79-0EF83F99AE0C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tint val="81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1-ABD8-4D61-8E79-0EF83F99AE0C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1">
                        <a:tint val="69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3-ABD8-4D61-8E79-0EF83F99AE0C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1">
                        <a:tint val="56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5-ABD8-4D61-8E79-0EF83F99AE0C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1">
                        <a:tint val="43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7-ABD8-4D61-8E79-0EF83F99AE0C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E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'2) Research'!$K$30:$K$39</c15:sqref>
                        </c15:formulaRef>
                      </c:ext>
                    </c:extLst>
                    <c:strCache>
                      <c:ptCount val="10"/>
                      <c:pt idx="0">
                        <c:v>John Deere</c:v>
                      </c:pt>
                      <c:pt idx="1">
                        <c:v>New Holland</c:v>
                      </c:pt>
                      <c:pt idx="2">
                        <c:v>Case IH</c:v>
                      </c:pt>
                      <c:pt idx="3">
                        <c:v>Crucianelli</c:v>
                      </c:pt>
                      <c:pt idx="4">
                        <c:v>Pauny</c:v>
                      </c:pt>
                      <c:pt idx="5">
                        <c:v>Metlflor</c:v>
                      </c:pt>
                      <c:pt idx="6">
                        <c:v>Agrometal</c:v>
                      </c:pt>
                      <c:pt idx="7">
                        <c:v>Pla</c:v>
                      </c:pt>
                      <c:pt idx="8">
                        <c:v>Massey Ferguson</c:v>
                      </c:pt>
                      <c:pt idx="9">
                        <c:v>Mainero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'2) Research'!$M$30:$M$39</c15:sqref>
                        </c15:formulaRef>
                      </c:ext>
                    </c:extLst>
                    <c:numCache>
                      <c:formatCode>0.00%</c:formatCode>
                      <c:ptCount val="10"/>
                      <c:pt idx="0">
                        <c:v>0.23699999999999999</c:v>
                      </c:pt>
                      <c:pt idx="1">
                        <c:v>0.105</c:v>
                      </c:pt>
                      <c:pt idx="2">
                        <c:v>0.11600000000000001</c:v>
                      </c:pt>
                      <c:pt idx="3">
                        <c:v>5.7000000000000002E-2</c:v>
                      </c:pt>
                      <c:pt idx="4">
                        <c:v>0.06</c:v>
                      </c:pt>
                      <c:pt idx="5">
                        <c:v>3.4000000000000002E-2</c:v>
                      </c:pt>
                      <c:pt idx="6">
                        <c:v>4.6838747099767979E-2</c:v>
                      </c:pt>
                      <c:pt idx="7">
                        <c:v>2.9000000000000001E-2</c:v>
                      </c:pt>
                      <c:pt idx="8">
                        <c:v>2.9000000000000001E-2</c:v>
                      </c:pt>
                      <c:pt idx="9">
                        <c:v>2.5999999999999999E-2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4909-4F06-A07D-DCB3BB8239F7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2518201421529793"/>
          <c:y val="0.34780037911927675"/>
          <c:w val="0.2722222222222222"/>
          <c:h val="0.41145888013998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'3) Macro'!$I$6</c:f>
              <c:strCache>
                <c:ptCount val="1"/>
                <c:pt idx="0">
                  <c:v>Inflación anual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'3) Macro'!$H$7:$H$12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'3) Macro'!$I$7:$I$12</c:f>
              <c:numCache>
                <c:formatCode>0.0%</c:formatCode>
                <c:ptCount val="6"/>
                <c:pt idx="0">
                  <c:v>0.36099999999999999</c:v>
                </c:pt>
                <c:pt idx="1">
                  <c:v>0.50941633543466325</c:v>
                </c:pt>
                <c:pt idx="2">
                  <c:v>0.9479318233519185</c:v>
                </c:pt>
                <c:pt idx="3">
                  <c:v>2.114076437471768</c:v>
                </c:pt>
                <c:pt idx="4">
                  <c:v>1.1776362746413853</c:v>
                </c:pt>
                <c:pt idx="5">
                  <c:v>0.35899999999999999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48-4D4A-ACF8-37414CDC5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6459200"/>
        <c:axId val="1286458368"/>
      </c:lineChart>
      <c:catAx>
        <c:axId val="128645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86458368"/>
        <c:crosses val="autoZero"/>
        <c:auto val="1"/>
        <c:lblAlgn val="ctr"/>
        <c:lblOffset val="100"/>
        <c:noMultiLvlLbl val="0"/>
      </c:catAx>
      <c:valAx>
        <c:axId val="1286458368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8645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'3) Macro'!$J$6</c:f>
              <c:strCache>
                <c:ptCount val="1"/>
                <c:pt idx="0">
                  <c:v>TC MEP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'3) Macro'!$H$7:$H$17</c:f>
              <c:strCach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2026E</c:v>
                </c:pt>
                <c:pt idx="7">
                  <c:v>2027E</c:v>
                </c:pt>
                <c:pt idx="8">
                  <c:v>2028E</c:v>
                </c:pt>
                <c:pt idx="9">
                  <c:v>2029E</c:v>
                </c:pt>
                <c:pt idx="10">
                  <c:v>2030E</c:v>
                </c:pt>
              </c:strCache>
            </c:strRef>
          </c:cat>
          <c:val>
            <c:numRef>
              <c:f>'3) Macro'!$J$7:$J$17</c:f>
              <c:numCache>
                <c:formatCode>[$$-2C0A]\ #,##0.0</c:formatCode>
                <c:ptCount val="11"/>
                <c:pt idx="0">
                  <c:v>122.63622377622364</c:v>
                </c:pt>
                <c:pt idx="1">
                  <c:v>164.48068493150674</c:v>
                </c:pt>
                <c:pt idx="2">
                  <c:v>250.58223367697596</c:v>
                </c:pt>
                <c:pt idx="3">
                  <c:v>573.54615384615374</c:v>
                </c:pt>
                <c:pt idx="4">
                  <c:v>1163.4084351145029</c:v>
                </c:pt>
                <c:pt idx="5">
                  <c:v>1300</c:v>
                </c:pt>
                <c:pt idx="6">
                  <c:v>1715.4564983467526</c:v>
                </c:pt>
                <c:pt idx="7">
                  <c:v>1838.6131695796785</c:v>
                </c:pt>
                <c:pt idx="8">
                  <c:v>1933.0624762361688</c:v>
                </c:pt>
                <c:pt idx="9">
                  <c:v>2033.3093561192579</c:v>
                </c:pt>
                <c:pt idx="10">
                  <c:v>2138.7549489512744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5F-4C79-9B26-3074B3E42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2861424"/>
        <c:axId val="1382862672"/>
      </c:lineChart>
      <c:catAx>
        <c:axId val="138286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82862672"/>
        <c:crosses val="autoZero"/>
        <c:auto val="1"/>
        <c:lblAlgn val="ctr"/>
        <c:lblOffset val="100"/>
        <c:noMultiLvlLbl val="0"/>
      </c:catAx>
      <c:valAx>
        <c:axId val="1382862672"/>
        <c:scaling>
          <c:orientation val="minMax"/>
        </c:scaling>
        <c:delete val="0"/>
        <c:axPos val="l"/>
        <c:numFmt formatCode="[$$-2C0A]\ 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82861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'3) Macro'!$K$6</c:f>
              <c:strCache>
                <c:ptCount val="1"/>
                <c:pt idx="0">
                  <c:v>PBI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'3) Macro'!$H$7:$H$12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'3) Macro'!$K$7:$K$12</c:f>
              <c:numCache>
                <c:formatCode>0.00%</c:formatCode>
                <c:ptCount val="6"/>
                <c:pt idx="0">
                  <c:v>-9.9000000000000005E-2</c:v>
                </c:pt>
                <c:pt idx="1">
                  <c:v>0.10441812002456641</c:v>
                </c:pt>
                <c:pt idx="2">
                  <c:v>5.2698796689142346E-2</c:v>
                </c:pt>
                <c:pt idx="3">
                  <c:v>-1.6110016199314625E-2</c:v>
                </c:pt>
                <c:pt idx="4">
                  <c:v>-1.7191051502288723E-2</c:v>
                </c:pt>
                <c:pt idx="5">
                  <c:v>5.5E-2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75-46D8-8CD1-B42890893C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293896624"/>
        <c:axId val="1293900368"/>
      </c:barChart>
      <c:catAx>
        <c:axId val="1293896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93900368"/>
        <c:crosses val="autoZero"/>
        <c:auto val="1"/>
        <c:lblAlgn val="ctr"/>
        <c:lblOffset val="100"/>
        <c:noMultiLvlLbl val="0"/>
      </c:catAx>
      <c:valAx>
        <c:axId val="1293900368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93896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EMAE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0335892388451444"/>
          <c:y val="0.17171296296296296"/>
          <c:w val="0.84301531058617685"/>
          <c:h val="0.684768518518518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'3) Macro'!$G$57</c:f>
              <c:strCache>
                <c:ptCount val="1"/>
                <c:pt idx="0">
                  <c:v>EMAE interanual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'3) Macro'!$A$58:$A$69</c:f>
              <c:numCache>
                <c:formatCode>mmm\-yy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'3) Macro'!$G$58:$G$69</c:f>
              <c:numCache>
                <c:formatCode>0.0%</c:formatCode>
                <c:ptCount val="12"/>
                <c:pt idx="0">
                  <c:v>-1.2269973067513096E-2</c:v>
                </c:pt>
                <c:pt idx="1">
                  <c:v>-2.897733531046387E-3</c:v>
                </c:pt>
                <c:pt idx="2">
                  <c:v>-3.2616396534534964E-4</c:v>
                </c:pt>
                <c:pt idx="3">
                  <c:v>2.7454608390085733E-2</c:v>
                </c:pt>
                <c:pt idx="4">
                  <c:v>3.7687334617671819E-2</c:v>
                </c:pt>
                <c:pt idx="5">
                  <c:v>3.7626960835599688E-2</c:v>
                </c:pt>
                <c:pt idx="6">
                  <c:v>4.1943255808435165E-2</c:v>
                </c:pt>
                <c:pt idx="7">
                  <c:v>5.1188522754633592E-2</c:v>
                </c:pt>
                <c:pt idx="8">
                  <c:v>6.385176037775997E-2</c:v>
                </c:pt>
                <c:pt idx="9">
                  <c:v>6.9413089439494868E-2</c:v>
                </c:pt>
                <c:pt idx="10">
                  <c:v>7.7340305534668641E-2</c:v>
                </c:pt>
                <c:pt idx="11">
                  <c:v>5.8318985993536021E-2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68-458C-B8F4-16504E70D15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34083679"/>
        <c:axId val="434080351"/>
      </c:barChart>
      <c:lineChart>
        <c:grouping val="standard"/>
        <c:varyColors val="0"/>
        <c:ser>
          <c:idx val="1"/>
          <c:order val="1"/>
          <c:tx>
            <c:strRef>
              <c:f>'3) Macro'!$F$6</c:f>
              <c:strCache>
                <c:ptCount val="1"/>
                <c:pt idx="0">
                  <c:v>M/M%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'3) Macro'!$A$58:$A$69</c:f>
              <c:numCache>
                <c:formatCode>mmm\-yy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'3) Macro'!$F$58:$F$69</c:f>
              <c:numCache>
                <c:formatCode>0.0%</c:formatCode>
                <c:ptCount val="12"/>
                <c:pt idx="0">
                  <c:v>-1.2269973067513096E-2</c:v>
                </c:pt>
                <c:pt idx="1">
                  <c:v>9.4886652029537721E-3</c:v>
                </c:pt>
                <c:pt idx="2">
                  <c:v>2.5790429449206176E-3</c:v>
                </c:pt>
                <c:pt idx="3">
                  <c:v>2.7789836398667278E-2</c:v>
                </c:pt>
                <c:pt idx="4">
                  <c:v>9.9592976118132448E-3</c:v>
                </c:pt>
                <c:pt idx="5">
                  <c:v>-5.8181091797004925E-5</c:v>
                </c:pt>
                <c:pt idx="6">
                  <c:v>4.1597752716058256E-3</c:v>
                </c:pt>
                <c:pt idx="7">
                  <c:v>8.8731002332991249E-3</c:v>
                </c:pt>
                <c:pt idx="8">
                  <c:v>1.2046590453577588E-2</c:v>
                </c:pt>
                <c:pt idx="9">
                  <c:v>5.2275413444444752E-3</c:v>
                </c:pt>
                <c:pt idx="10">
                  <c:v>7.412679135364364E-3</c:v>
                </c:pt>
                <c:pt idx="11">
                  <c:v>-1.7655813528384079E-2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68-458C-B8F4-16504E70D15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34083679"/>
        <c:axId val="434080351"/>
      </c:lineChart>
      <c:dateAx>
        <c:axId val="43408367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4080351"/>
        <c:crosses val="autoZero"/>
        <c:auto val="1"/>
        <c:lblOffset val="100"/>
        <c:baseTimeUnit val="months"/>
      </c:dateAx>
      <c:valAx>
        <c:axId val="434080351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4083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9081867891513563"/>
          <c:y val="0.84337890055409737"/>
          <c:w val="0.51195909886264213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'3) Macro'!$C$6</c:f>
              <c:strCache>
                <c:ptCount val="1"/>
                <c:pt idx="0">
                  <c:v>Inflación mensual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'3) Macro'!$A$58:$A$70</c:f>
              <c:numCache>
                <c:formatCode>mmm\-yy</c:formatCode>
                <c:ptCount val="13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  <c:pt idx="12">
                  <c:v>45748</c:v>
                </c:pt>
              </c:numCache>
            </c:numRef>
          </c:cat>
          <c:val>
            <c:numRef>
              <c:f>'3) Macro'!$C$58:$C$70</c:f>
              <c:numCache>
                <c:formatCode>0.0%</c:formatCode>
                <c:ptCount val="13"/>
                <c:pt idx="0">
                  <c:v>8.8319207606050831E-2</c:v>
                </c:pt>
                <c:pt idx="1">
                  <c:v>4.176327882665154E-2</c:v>
                </c:pt>
                <c:pt idx="2">
                  <c:v>4.5770657883027477E-2</c:v>
                </c:pt>
                <c:pt idx="3">
                  <c:v>4.0309336951463992E-2</c:v>
                </c:pt>
                <c:pt idx="4">
                  <c:v>4.1722732793725292E-2</c:v>
                </c:pt>
                <c:pt idx="5">
                  <c:v>3.4692081048066425E-2</c:v>
                </c:pt>
                <c:pt idx="6">
                  <c:v>2.6917380413114644E-2</c:v>
                </c:pt>
                <c:pt idx="7">
                  <c:v>2.4265560755083682E-2</c:v>
                </c:pt>
                <c:pt idx="8">
                  <c:v>2.7041040514633741E-2</c:v>
                </c:pt>
                <c:pt idx="9">
                  <c:v>2.2110480136651844E-2</c:v>
                </c:pt>
                <c:pt idx="10">
                  <c:v>2.4016274307517849E-2</c:v>
                </c:pt>
                <c:pt idx="11">
                  <c:v>3.7293353066121693E-2</c:v>
                </c:pt>
                <c:pt idx="12">
                  <c:v>2.7808358448509596E-2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48-4D4A-ACF8-37414CDC5B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286459200"/>
        <c:axId val="1286458368"/>
      </c:barChart>
      <c:dateAx>
        <c:axId val="128645920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86458368"/>
        <c:crosses val="autoZero"/>
        <c:auto val="1"/>
        <c:lblOffset val="100"/>
        <c:baseTimeUnit val="months"/>
      </c:dateAx>
      <c:valAx>
        <c:axId val="1286458368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86459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'4) Financial Statements'!$A$90</c:f>
              <c:strCache>
                <c:ptCount val="1"/>
                <c:pt idx="0">
                  <c:v>Revenues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'4) Financial Statements'!$B$89:$F$89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'4) Financial Statements'!$B$90:$F$90</c:f>
              <c:numCache>
                <c:formatCode>_-* #,##0_-;\-* #,##0_-;_-* "-"??_-;_-@_-</c:formatCode>
                <c:ptCount val="5"/>
                <c:pt idx="0">
                  <c:v>29683085.175896909</c:v>
                </c:pt>
                <c:pt idx="1">
                  <c:v>48232048.549065627</c:v>
                </c:pt>
                <c:pt idx="2">
                  <c:v>58499325.901518971</c:v>
                </c:pt>
                <c:pt idx="3">
                  <c:v>39185444.636472158</c:v>
                </c:pt>
                <c:pt idx="4">
                  <c:v>54751075.605473705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49-4651-87AB-EC9E6BF19A82}"/>
            </c:ext>
          </c:extLst>
        </c:ser>
        <c:ser>
          <c:idx val="1"/>
          <c:order val="1"/>
          <c:tx>
            <c:strRef>
              <c:f>'4) Financial Statements'!$A$100</c:f>
              <c:strCache>
                <c:ptCount val="1"/>
                <c:pt idx="0">
                  <c:v>Operating Costs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'4) Financial Statements'!$B$89:$F$89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'4) Financial Statements'!$B$100:$F$100</c:f>
              <c:numCache>
                <c:formatCode>_-* #,##0_-;\-* #,##0_-;_-* "-"??_-;_-@_-</c:formatCode>
                <c:ptCount val="5"/>
                <c:pt idx="0">
                  <c:v>18239562.30975917</c:v>
                </c:pt>
                <c:pt idx="1">
                  <c:v>28707831.189822033</c:v>
                </c:pt>
                <c:pt idx="2">
                  <c:v>34632239.643082783</c:v>
                </c:pt>
                <c:pt idx="3">
                  <c:v>27435286.376658045</c:v>
                </c:pt>
                <c:pt idx="4">
                  <c:v>38426454.02738554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49-4651-87AB-EC9E6BF19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79261759"/>
        <c:axId val="1979262175"/>
      </c:barChart>
      <c:lineChart>
        <c:grouping val="standard"/>
        <c:varyColors val="0"/>
        <c:ser>
          <c:idx val="2"/>
          <c:order val="2"/>
          <c:tx>
            <c:strRef>
              <c:f>'5) Ratios'!$A$26</c:f>
              <c:strCache>
                <c:ptCount val="1"/>
                <c:pt idx="0">
                  <c:v>Margen neto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'4) Financial Statements'!$B$89:$F$89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'5) Ratios'!$B$26:$F$26</c:f>
              <c:numCache>
                <c:formatCode>0.00</c:formatCode>
                <c:ptCount val="5"/>
                <c:pt idx="0">
                  <c:v>8.3055108320557583E-2</c:v>
                </c:pt>
                <c:pt idx="1">
                  <c:v>0.14118142073224543</c:v>
                </c:pt>
                <c:pt idx="2">
                  <c:v>5.7045625214393381E-2</c:v>
                </c:pt>
                <c:pt idx="3">
                  <c:v>-0.14405042944341073</c:v>
                </c:pt>
                <c:pt idx="4">
                  <c:v>4.0576077022395074E-2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C49-4651-87AB-EC9E6BF19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7154479"/>
        <c:axId val="2057155727"/>
      </c:lineChart>
      <c:catAx>
        <c:axId val="1979261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79262175"/>
        <c:crosses val="autoZero"/>
        <c:auto val="1"/>
        <c:lblAlgn val="ctr"/>
        <c:lblOffset val="100"/>
        <c:noMultiLvlLbl val="0"/>
      </c:catAx>
      <c:valAx>
        <c:axId val="197926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79261759"/>
        <c:crosses val="autoZero"/>
        <c:crossBetween val="between"/>
      </c:valAx>
      <c:valAx>
        <c:axId val="2057155727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57154479"/>
        <c:crosses val="max"/>
        <c:crossBetween val="between"/>
      </c:valAx>
      <c:catAx>
        <c:axId val="20571544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571557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Composición</a:t>
            </a:r>
            <a:r>
              <a:rPr lang="es-ES" baseline="0"/>
              <a:t> del PN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2316131264771604"/>
          <c:y val="5.0925925925925923E-2"/>
          <c:w val="0.83678569886545329"/>
          <c:h val="0.79537839020122481"/>
        </c:manualLayout>
      </c:layout>
      <c:areaChart>
        <c:grouping val="stacked"/>
        <c:varyColors val="0"/>
        <c:ser>
          <c:idx val="0"/>
          <c:order val="0"/>
          <c:tx>
            <c:strRef>
              <c:f>'4) Financial Statements'!$H$107</c:f>
              <c:strCache>
                <c:ptCount val="1"/>
                <c:pt idx="0">
                  <c:v>Current Assets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'4) Financial Statements'!$I$102:$M$102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'4) Financial Statements'!$I$107:$M$107</c:f>
              <c:numCache>
                <c:formatCode>0%</c:formatCode>
                <c:ptCount val="5"/>
                <c:pt idx="0">
                  <c:v>0.72501536070952799</c:v>
                </c:pt>
                <c:pt idx="1">
                  <c:v>0.79878843284201007</c:v>
                </c:pt>
                <c:pt idx="2">
                  <c:v>0.70474625363797616</c:v>
                </c:pt>
                <c:pt idx="3">
                  <c:v>0.5743454853515858</c:v>
                </c:pt>
                <c:pt idx="4">
                  <c:v>0.60254354987108139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E9-4AD4-BB49-5904DDB55245}"/>
            </c:ext>
          </c:extLst>
        </c:ser>
        <c:ser>
          <c:idx val="1"/>
          <c:order val="1"/>
          <c:tx>
            <c:strRef>
              <c:f>'4) Financial Statements'!$H$110</c:f>
              <c:strCache>
                <c:ptCount val="1"/>
                <c:pt idx="0">
                  <c:v>Non Current Assets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numRef>
              <c:f>'4) Financial Statements'!$I$102:$M$102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'4) Financial Statements'!$I$110:$M$110</c:f>
              <c:numCache>
                <c:formatCode>0%</c:formatCode>
                <c:ptCount val="5"/>
                <c:pt idx="0">
                  <c:v>0.27498463929047207</c:v>
                </c:pt>
                <c:pt idx="1">
                  <c:v>0.20121156715799005</c:v>
                </c:pt>
                <c:pt idx="2">
                  <c:v>0.29525374636202384</c:v>
                </c:pt>
                <c:pt idx="3">
                  <c:v>0.42565451464841431</c:v>
                </c:pt>
                <c:pt idx="4">
                  <c:v>0.39745645012891873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E9-4AD4-BB49-5904DDB55245}"/>
            </c:ext>
          </c:extLst>
        </c:ser>
        <c:ser>
          <c:idx val="2"/>
          <c:order val="2"/>
          <c:tx>
            <c:strRef>
              <c:f>'4) Financial Statements'!$H$115</c:f>
              <c:strCache>
                <c:ptCount val="1"/>
                <c:pt idx="0">
                  <c:v>Current Liabilities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cat>
            <c:numRef>
              <c:f>'4) Financial Statements'!$I$102:$M$102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'4) Financial Statements'!$I$115:$M$115</c:f>
              <c:numCache>
                <c:formatCode>0%</c:formatCode>
                <c:ptCount val="5"/>
                <c:pt idx="0">
                  <c:v>0.86591237560082845</c:v>
                </c:pt>
                <c:pt idx="1">
                  <c:v>0.93845183204659</c:v>
                </c:pt>
                <c:pt idx="2">
                  <c:v>0.87735444719422284</c:v>
                </c:pt>
                <c:pt idx="3">
                  <c:v>0.88425389667862042</c:v>
                </c:pt>
                <c:pt idx="4">
                  <c:v>0.94520590461432941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E9-4AD4-BB49-5904DDB55245}"/>
            </c:ext>
          </c:extLst>
        </c:ser>
        <c:ser>
          <c:idx val="3"/>
          <c:order val="3"/>
          <c:tx>
            <c:strRef>
              <c:f>'4) Financial Statements'!$H$118</c:f>
              <c:strCache>
                <c:ptCount val="1"/>
                <c:pt idx="0">
                  <c:v>Non Current Liabilities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'4) Financial Statements'!$I$102:$M$102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'4) Financial Statements'!$I$118:$M$118</c:f>
              <c:numCache>
                <c:formatCode>0%</c:formatCode>
                <c:ptCount val="5"/>
                <c:pt idx="0">
                  <c:v>0.13408762439917146</c:v>
                </c:pt>
                <c:pt idx="1">
                  <c:v>6.1548167953410116E-2</c:v>
                </c:pt>
                <c:pt idx="2">
                  <c:v>0.12264555280577717</c:v>
                </c:pt>
                <c:pt idx="3">
                  <c:v>0.11574610332137956</c:v>
                </c:pt>
                <c:pt idx="4">
                  <c:v>5.4794095385670594E-2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E9-4AD4-BB49-5904DDB55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5946287"/>
        <c:axId val="1485945455"/>
      </c:areaChart>
      <c:catAx>
        <c:axId val="1485946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85945455"/>
        <c:crosses val="autoZero"/>
        <c:auto val="1"/>
        <c:lblAlgn val="ctr"/>
        <c:lblOffset val="100"/>
        <c:noMultiLvlLbl val="0"/>
      </c:catAx>
      <c:valAx>
        <c:axId val="148594545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% sobre el 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85946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9.0438976377952757E-2"/>
          <c:y val="0.92245261009040536"/>
          <c:w val="0.89567213473315832"/>
          <c:h val="7.63910761154855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Composición</a:t>
            </a:r>
            <a:r>
              <a:rPr lang="es-ES" baseline="0"/>
              <a:t> del Activo Corriente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9.7122703412073491E-2"/>
          <c:y val="5.0925925925925923E-2"/>
          <c:w val="0.87387182852143486"/>
          <c:h val="0.781489501312335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'4) Financial Statements'!$H$103</c:f>
              <c:strCache>
                <c:ptCount val="1"/>
                <c:pt idx="0">
                  <c:v>Cash &amp; ST Investments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invertIfNegative val="0"/>
          <c:cat>
            <c:numRef>
              <c:f>'4) Financial Statements'!$I$102:$M$102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'4) Financial Statements'!$I$103:$M$103</c:f>
              <c:numCache>
                <c:formatCode>0%</c:formatCode>
                <c:ptCount val="5"/>
                <c:pt idx="0">
                  <c:v>0.29144073319355546</c:v>
                </c:pt>
                <c:pt idx="1">
                  <c:v>0.24580909811242233</c:v>
                </c:pt>
                <c:pt idx="2">
                  <c:v>0.19735155225186837</c:v>
                </c:pt>
                <c:pt idx="3">
                  <c:v>0.20196813157298726</c:v>
                </c:pt>
                <c:pt idx="4">
                  <c:v>0.22533005104005968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E9-4AD4-BB49-5904DDB55245}"/>
            </c:ext>
          </c:extLst>
        </c:ser>
        <c:ser>
          <c:idx val="1"/>
          <c:order val="1"/>
          <c:tx>
            <c:strRef>
              <c:f>'4) Financial Statements'!$H$104</c:f>
              <c:strCache>
                <c:ptCount val="1"/>
                <c:pt idx="0">
                  <c:v>Receivables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invertIfNegative val="0"/>
          <c:cat>
            <c:numRef>
              <c:f>'4) Financial Statements'!$I$102:$M$102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'4) Financial Statements'!$I$104:$M$104</c:f>
              <c:numCache>
                <c:formatCode>0%</c:formatCode>
                <c:ptCount val="5"/>
                <c:pt idx="0">
                  <c:v>0.17007832141094298</c:v>
                </c:pt>
                <c:pt idx="1">
                  <c:v>0.20984345698695386</c:v>
                </c:pt>
                <c:pt idx="2">
                  <c:v>0.22577810413851332</c:v>
                </c:pt>
                <c:pt idx="3">
                  <c:v>0.26141336151495559</c:v>
                </c:pt>
                <c:pt idx="4">
                  <c:v>0.39161155979060863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E9-4AD4-BB49-5904DDB55245}"/>
            </c:ext>
          </c:extLst>
        </c:ser>
        <c:ser>
          <c:idx val="2"/>
          <c:order val="2"/>
          <c:tx>
            <c:strRef>
              <c:f>'4) Financial Statements'!$H$105</c:f>
              <c:strCache>
                <c:ptCount val="1"/>
                <c:pt idx="0">
                  <c:v>Inventories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invertIfNegative val="0"/>
          <c:cat>
            <c:numRef>
              <c:f>'4) Financial Statements'!$I$102:$M$102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'4) Financial Statements'!$I$105:$M$105</c:f>
              <c:numCache>
                <c:formatCode>0%</c:formatCode>
                <c:ptCount val="5"/>
                <c:pt idx="0">
                  <c:v>0.21937080760796687</c:v>
                </c:pt>
                <c:pt idx="1">
                  <c:v>0.23196997521147064</c:v>
                </c:pt>
                <c:pt idx="2">
                  <c:v>0.29233406016966151</c:v>
                </c:pt>
                <c:pt idx="3">
                  <c:v>0.33556792126909024</c:v>
                </c:pt>
                <c:pt idx="4">
                  <c:v>0.26444912378231888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E9-4AD4-BB49-5904DDB55245}"/>
            </c:ext>
          </c:extLst>
        </c:ser>
        <c:ser>
          <c:idx val="3"/>
          <c:order val="3"/>
          <c:tx>
            <c:strRef>
              <c:f>'4) Financial Statements'!$H$106</c:f>
              <c:strCache>
                <c:ptCount val="1"/>
                <c:pt idx="0">
                  <c:v>Other receivables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invertIfNegative val="0"/>
          <c:cat>
            <c:numRef>
              <c:f>'4) Financial Statements'!$I$102:$M$102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'4) Financial Statements'!$I$106:$M$106</c:f>
              <c:numCache>
                <c:formatCode>0%</c:formatCode>
                <c:ptCount val="5"/>
                <c:pt idx="0">
                  <c:v>0.31911013778753466</c:v>
                </c:pt>
                <c:pt idx="1">
                  <c:v>0.31237746968915314</c:v>
                </c:pt>
                <c:pt idx="2">
                  <c:v>0.28453628343995691</c:v>
                </c:pt>
                <c:pt idx="3">
                  <c:v>0.20105058564296682</c:v>
                </c:pt>
                <c:pt idx="4">
                  <c:v>0.11860926538701273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E9-4AD4-BB49-5904DDB55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5946287"/>
        <c:axId val="1485945455"/>
      </c:barChart>
      <c:catAx>
        <c:axId val="1485946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85945455"/>
        <c:crosses val="autoZero"/>
        <c:auto val="1"/>
        <c:lblAlgn val="ctr"/>
        <c:lblOffset val="100"/>
        <c:noMultiLvlLbl val="0"/>
      </c:catAx>
      <c:valAx>
        <c:axId val="1485945455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85946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9.0438976377952757E-2"/>
          <c:y val="0.92245261009040536"/>
          <c:w val="0.82229680664916882"/>
          <c:h val="7.7547389909594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Composición</a:t>
            </a:r>
            <a:r>
              <a:rPr lang="es-ES" baseline="0"/>
              <a:t> del Activo Corriente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9.7122703412073491E-2"/>
          <c:y val="5.0925925925925923E-2"/>
          <c:w val="0.87387182852143486"/>
          <c:h val="0.781489501312335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'4) Financial Statements'!$H$112</c:f>
              <c:strCache>
                <c:ptCount val="1"/>
                <c:pt idx="0">
                  <c:v>Payables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'4) Financial Statements'!$I$102:$M$102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'4) Financial Statements'!$I$112:$M$112</c:f>
              <c:numCache>
                <c:formatCode>0%</c:formatCode>
                <c:ptCount val="5"/>
                <c:pt idx="0">
                  <c:v>0.2655178192431617</c:v>
                </c:pt>
                <c:pt idx="1">
                  <c:v>0.13944991917277272</c:v>
                </c:pt>
                <c:pt idx="2">
                  <c:v>0.28146493558300073</c:v>
                </c:pt>
                <c:pt idx="3">
                  <c:v>9.9999439723756425E-2</c:v>
                </c:pt>
                <c:pt idx="4">
                  <c:v>0.25900568999959112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E9-4AD4-BB49-5904DDB55245}"/>
            </c:ext>
          </c:extLst>
        </c:ser>
        <c:ser>
          <c:idx val="1"/>
          <c:order val="1"/>
          <c:tx>
            <c:strRef>
              <c:f>'4) Financial Statements'!$H$113</c:f>
              <c:strCache>
                <c:ptCount val="1"/>
                <c:pt idx="0">
                  <c:v>Loans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'4) Financial Statements'!$I$102:$M$102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'4) Financial Statements'!$I$113:$M$113</c:f>
              <c:numCache>
                <c:formatCode>0%</c:formatCode>
                <c:ptCount val="5"/>
                <c:pt idx="0">
                  <c:v>0.20598582474929406</c:v>
                </c:pt>
                <c:pt idx="1">
                  <c:v>0.15967903327278005</c:v>
                </c:pt>
                <c:pt idx="2">
                  <c:v>0.31757928773212629</c:v>
                </c:pt>
                <c:pt idx="3">
                  <c:v>0.55275995182519444</c:v>
                </c:pt>
                <c:pt idx="4">
                  <c:v>0.32773123393830411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E9-4AD4-BB49-5904DDB55245}"/>
            </c:ext>
          </c:extLst>
        </c:ser>
        <c:ser>
          <c:idx val="2"/>
          <c:order val="2"/>
          <c:tx>
            <c:strRef>
              <c:f>'4) Financial Statements'!$H$114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'4) Financial Statements'!$I$102:$M$102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'4) Financial Statements'!$I$114:$M$114</c:f>
              <c:numCache>
                <c:formatCode>0%</c:formatCode>
                <c:ptCount val="5"/>
                <c:pt idx="0">
                  <c:v>2.5591666577118522E-2</c:v>
                </c:pt>
                <c:pt idx="1">
                  <c:v>3.2118248238026836E-2</c:v>
                </c:pt>
                <c:pt idx="2">
                  <c:v>6.6696747194196992E-2</c:v>
                </c:pt>
                <c:pt idx="3">
                  <c:v>0.10277276369948424</c:v>
                </c:pt>
                <c:pt idx="4">
                  <c:v>6.5983207407517994E-2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E9-4AD4-BB49-5904DDB55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5946287"/>
        <c:axId val="1485945455"/>
      </c:barChart>
      <c:catAx>
        <c:axId val="1485946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85945455"/>
        <c:crosses val="autoZero"/>
        <c:auto val="1"/>
        <c:lblAlgn val="ctr"/>
        <c:lblOffset val="100"/>
        <c:noMultiLvlLbl val="0"/>
      </c:catAx>
      <c:valAx>
        <c:axId val="1485945455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85946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9.0438976377952757E-2"/>
          <c:y val="0.92245261009040536"/>
          <c:w val="0.82229680664916882"/>
          <c:h val="7.7547389909594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'5) Ratios'!$A$27</c:f>
              <c:strCache>
                <c:ptCount val="1"/>
                <c:pt idx="0">
                  <c:v>ROA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'5) Ratios'!$B$5:$F$5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'5) Ratios'!$B$27:$F$27</c:f>
              <c:numCache>
                <c:formatCode>0.00</c:formatCode>
                <c:ptCount val="5"/>
                <c:pt idx="0">
                  <c:v>0.10848782501844097</c:v>
                </c:pt>
                <c:pt idx="1">
                  <c:v>0.18532931753559329</c:v>
                </c:pt>
                <c:pt idx="2">
                  <c:v>9.1151465600298825E-2</c:v>
                </c:pt>
                <c:pt idx="3">
                  <c:v>-0.15275692125825183</c:v>
                </c:pt>
                <c:pt idx="4">
                  <c:v>4.7456077401032921E-2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40-48C6-B2B2-E58B9767EE1B}"/>
            </c:ext>
          </c:extLst>
        </c:ser>
        <c:ser>
          <c:idx val="1"/>
          <c:order val="1"/>
          <c:tx>
            <c:strRef>
              <c:f>'5) Ratios'!$A$28</c:f>
              <c:strCache>
                <c:ptCount val="1"/>
                <c:pt idx="0">
                  <c:v>ROE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'5) Ratios'!$B$5:$F$5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'5) Ratios'!$B$28:$F$28</c:f>
              <c:numCache>
                <c:formatCode>0.00</c:formatCode>
                <c:ptCount val="5"/>
                <c:pt idx="0">
                  <c:v>0.26496607220093005</c:v>
                </c:pt>
                <c:pt idx="1">
                  <c:v>0.39643076653684545</c:v>
                </c:pt>
                <c:pt idx="2">
                  <c:v>0.15284518079229714</c:v>
                </c:pt>
                <c:pt idx="3">
                  <c:v>-0.23641103996869225</c:v>
                </c:pt>
                <c:pt idx="4">
                  <c:v>8.0190244287810228E-2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40-48C6-B2B2-E58B9767EE1B}"/>
            </c:ext>
          </c:extLst>
        </c:ser>
        <c:ser>
          <c:idx val="2"/>
          <c:order val="2"/>
          <c:tx>
            <c:strRef>
              <c:f>'5) Ratios'!$A$29</c:f>
              <c:strCache>
                <c:ptCount val="1"/>
                <c:pt idx="0">
                  <c:v>ROIC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'5) Ratios'!$B$5:$F$5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'5) Ratios'!$B$29:$F$29</c:f>
              <c:numCache>
                <c:formatCode>0.00</c:formatCode>
                <c:ptCount val="5"/>
                <c:pt idx="0">
                  <c:v>0.58147824266839276</c:v>
                </c:pt>
                <c:pt idx="1">
                  <c:v>0.57220375049277372</c:v>
                </c:pt>
                <c:pt idx="2">
                  <c:v>0.22087924635466766</c:v>
                </c:pt>
                <c:pt idx="3">
                  <c:v>-6.7642780200992791E-2</c:v>
                </c:pt>
                <c:pt idx="4">
                  <c:v>0.11850713358321929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40-48C6-B2B2-E58B9767EE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453647"/>
        <c:axId val="79447407"/>
      </c:barChart>
      <c:catAx>
        <c:axId val="79453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9447407"/>
        <c:crosses val="autoZero"/>
        <c:auto val="1"/>
        <c:lblAlgn val="ctr"/>
        <c:lblOffset val="100"/>
        <c:noMultiLvlLbl val="0"/>
      </c:catAx>
      <c:valAx>
        <c:axId val="79447407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9453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'[2]Bonus Relative Valuation'!$C$9</c:f>
              <c:strCache>
                <c:ptCount val="1"/>
                <c:pt idx="0">
                  <c:v>P/E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'[2]Bonus Relative Valuation'!$A$11:$A$18</c:f>
              <c:strCache>
                <c:ptCount val="8"/>
                <c:pt idx="0">
                  <c:v>Agrometal</c:v>
                </c:pt>
                <c:pt idx="1">
                  <c:v>Brasilagro</c:v>
                </c:pt>
                <c:pt idx="2">
                  <c:v>Itausa</c:v>
                </c:pt>
                <c:pt idx="3">
                  <c:v>Adecoagro</c:v>
                </c:pt>
                <c:pt idx="4">
                  <c:v>KubotaCorp</c:v>
                </c:pt>
                <c:pt idx="5">
                  <c:v>AGCO Corporation</c:v>
                </c:pt>
                <c:pt idx="6">
                  <c:v>CNH Industrial NV</c:v>
                </c:pt>
                <c:pt idx="7">
                  <c:v>Promedio</c:v>
                </c:pt>
              </c:strCache>
            </c:strRef>
          </c:cat>
          <c:val>
            <c:numRef>
              <c:f>'[2]Bonus Relative Valuation'!$C$11:$C$18</c:f>
              <c:numCache>
                <c:formatCode>General</c:formatCode>
                <c:ptCount val="8"/>
                <c:pt idx="0">
                  <c:v>1.78</c:v>
                </c:pt>
                <c:pt idx="1">
                  <c:v>0.93</c:v>
                </c:pt>
                <c:pt idx="2">
                  <c:v>1.34</c:v>
                </c:pt>
                <c:pt idx="3">
                  <c:v>0.67</c:v>
                </c:pt>
                <c:pt idx="4">
                  <c:v>0.77</c:v>
                </c:pt>
                <c:pt idx="5">
                  <c:v>2.12</c:v>
                </c:pt>
                <c:pt idx="6">
                  <c:v>2.11</c:v>
                </c:pt>
                <c:pt idx="7">
                  <c:v>1.3885714285714286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E5-4018-97ED-C0F43A441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9672815"/>
        <c:axId val="739674479"/>
      </c:barChart>
      <c:catAx>
        <c:axId val="739672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39674479"/>
        <c:crosses val="autoZero"/>
        <c:auto val="1"/>
        <c:lblAlgn val="ctr"/>
        <c:lblOffset val="100"/>
        <c:noMultiLvlLbl val="0"/>
      </c:catAx>
      <c:valAx>
        <c:axId val="739674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39672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Relative_Valuation!$A$6</c:f>
              <c:strCache>
                <c:ptCount val="1"/>
                <c:pt idx="0">
                  <c:v>EPS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Relative_Valuation!$B$3:$G$3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2025E</c:v>
                </c:pt>
              </c:strCache>
            </c:strRef>
          </c:cat>
          <c:val>
            <c:numRef>
              <c:f>Relative_Valuation!$B$6:$G$6</c:f>
              <c:numCache>
                <c:formatCode>_-[$$-2C0A]\ * #,##0.0_-;\-[$$-2C0A]\ * #,##0.0_-;_-[$$-2C0A]\ * "-"??_-;_-@_-</c:formatCode>
                <c:ptCount val="6"/>
                <c:pt idx="0">
                  <c:v>14.03390431</c:v>
                </c:pt>
                <c:pt idx="1">
                  <c:v>32.11356644</c:v>
                </c:pt>
                <c:pt idx="2">
                  <c:v>59.806677860000001</c:v>
                </c:pt>
                <c:pt idx="3">
                  <c:v>5.6160483975000002</c:v>
                </c:pt>
                <c:pt idx="4">
                  <c:v>15.82683537</c:v>
                </c:pt>
                <c:pt idx="5" formatCode="_-[$$-2C0A]\ * #,##0.00_-;\-[$$-2C0A]\ * #,##0.00_-;_-[$$-2C0A]\ * &quot;-&quot;??_-;_-@_-">
                  <c:v>25.509682255928052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3-47AD-BE94-3444445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4619039"/>
        <c:axId val="2064612383"/>
      </c:barChart>
      <c:catAx>
        <c:axId val="2064619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64612383"/>
        <c:crosses val="autoZero"/>
        <c:auto val="1"/>
        <c:lblAlgn val="ctr"/>
        <c:lblOffset val="100"/>
        <c:noMultiLvlLbl val="0"/>
      </c:catAx>
      <c:valAx>
        <c:axId val="2064612383"/>
        <c:scaling>
          <c:orientation val="minMax"/>
        </c:scaling>
        <c:delete val="0"/>
        <c:axPos val="l"/>
        <c:numFmt formatCode="_-[$$-2C0A]\ * #,##0.0_-;\-[$$-2C0A]\ * #,##0.0_-;_-[$$-2C0A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64619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EV/EBITDA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Relative_Valuation!$B$28:$G$28</c:f>
              <c:strCache>
                <c:ptCount val="6"/>
                <c:pt idx="0">
                  <c:v>2025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  <c:pt idx="4">
                  <c:v>2029E</c:v>
                </c:pt>
                <c:pt idx="5">
                  <c:v>2030E</c:v>
                </c:pt>
              </c:strCache>
            </c:strRef>
          </c:cat>
          <c:val>
            <c:numRef>
              <c:f>Relative_Valuation!$B$29:$G$29</c:f>
              <c:numCache>
                <c:formatCode>0.00</c:formatCode>
                <c:ptCount val="6"/>
                <c:pt idx="0">
                  <c:v>1.9085613841691145</c:v>
                </c:pt>
                <c:pt idx="1">
                  <c:v>1.8873289336653789</c:v>
                </c:pt>
                <c:pt idx="2">
                  <c:v>1.8686425085795833</c:v>
                </c:pt>
                <c:pt idx="3">
                  <c:v>1.853812012479745</c:v>
                </c:pt>
                <c:pt idx="4">
                  <c:v>1.8395554576827047</c:v>
                </c:pt>
                <c:pt idx="5">
                  <c:v>1.8258614964592601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2F-464E-A9A0-96B79E1E9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3069103"/>
        <c:axId val="1903069519"/>
      </c:barChart>
      <c:catAx>
        <c:axId val="1903069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03069519"/>
        <c:crosses val="autoZero"/>
        <c:auto val="1"/>
        <c:lblAlgn val="ctr"/>
        <c:lblOffset val="100"/>
        <c:noMultiLvlLbl val="0"/>
      </c:catAx>
      <c:valAx>
        <c:axId val="1903069519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03069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Rendimientos diarios $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Rendimientos diarios $</a:t>
          </a:r>
        </a:p>
      </cx:txPr>
    </cx:title>
    <cx:plotArea>
      <cx:plotAreaRegion>
        <cx:series layoutId="clusteredColumn" uniqueId="{4BD0342B-B205-4AC1-9691-520B4594F42E}">
          <cx:tx>
            <cx:txData>
              <cx:f>_xlchart.v1.1</cx:f>
              <cx:v>Rend AGRO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Rendimientos diarios USD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Rendimientos diarios USD</a:t>
          </a:r>
        </a:p>
      </cx:txPr>
    </cx:title>
    <cx:plotArea>
      <cx:plotAreaRegion>
        <cx:series layoutId="clusteredColumn" uniqueId="{F5BCF8D9-BCDE-49C7-8545-6A9AEDFDA88C}">
          <cx:tx>
            <cx:txData>
              <cx:f>_xlchart.v1.3</cx:f>
              <cx:v>Rend AGRO2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image" Target="../media/image1.png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image" Target="../media/image1.png"/><Relationship Id="rId1" Type="http://schemas.openxmlformats.org/officeDocument/2006/relationships/image" Target="../media/image3.png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104775</xdr:colOff>
      <xdr:row>8</xdr:row>
      <xdr:rowOff>176211</xdr:rowOff>
    </xdr:from>
    <xdr:to>
      <xdr:col>18</xdr:col>
      <xdr:colOff>714375</xdr:colOff>
      <xdr:row>25</xdr:row>
      <xdr:rowOff>47624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495799A-6229-4FB0-A94C-24F85161C1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47624</xdr:colOff>
      <xdr:row>26</xdr:row>
      <xdr:rowOff>66676</xdr:rowOff>
    </xdr:from>
    <xdr:to>
      <xdr:col>17</xdr:col>
      <xdr:colOff>395287</xdr:colOff>
      <xdr:row>39</xdr:row>
      <xdr:rowOff>84774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BD52EB95-4DA2-422A-8F2B-7CCF9DCF33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48774" y="4772026"/>
              <a:ext cx="5776913" cy="23707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17</xdr:col>
      <xdr:colOff>609599</xdr:colOff>
      <xdr:row>26</xdr:row>
      <xdr:rowOff>28575</xdr:rowOff>
    </xdr:from>
    <xdr:to>
      <xdr:col>23</xdr:col>
      <xdr:colOff>219074</xdr:colOff>
      <xdr:row>39</xdr:row>
      <xdr:rowOff>60960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0C303F1D-65E3-43BF-9AC7-6F26F6EAAB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39999" y="4733925"/>
              <a:ext cx="5038725" cy="23850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14</xdr:col>
      <xdr:colOff>69055</xdr:colOff>
      <xdr:row>53</xdr:row>
      <xdr:rowOff>126205</xdr:rowOff>
    </xdr:from>
    <xdr:to>
      <xdr:col>20</xdr:col>
      <xdr:colOff>69055</xdr:colOff>
      <xdr:row>68</xdr:row>
      <xdr:rowOff>11906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9FDC7F8-6403-47A2-AE7A-9CF5298A56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19050</xdr:colOff>
      <xdr:row>9</xdr:row>
      <xdr:rowOff>42861</xdr:rowOff>
    </xdr:from>
    <xdr:to>
      <xdr:col>26</xdr:col>
      <xdr:colOff>742950</xdr:colOff>
      <xdr:row>25</xdr:row>
      <xdr:rowOff>104774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07F1D12-577D-4B5D-909B-F54BCD9DC8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83344</xdr:colOff>
      <xdr:row>1</xdr:row>
      <xdr:rowOff>95251</xdr:rowOff>
    </xdr:from>
    <xdr:to>
      <xdr:col>3</xdr:col>
      <xdr:colOff>574852</xdr:colOff>
      <xdr:row>4</xdr:row>
      <xdr:rowOff>35719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3AA22F3-0A39-42BD-83D3-924137A1B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4" y="273845"/>
          <a:ext cx="2991821" cy="476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19050</xdr:rowOff>
    </xdr:from>
    <xdr:to>
      <xdr:col>7</xdr:col>
      <xdr:colOff>447675</xdr:colOff>
      <xdr:row>27</xdr:row>
      <xdr:rowOff>28575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2DC195DB-3D4D-4715-8B7E-D6B97A4070C2}"/>
            </a:ext>
          </a:extLst>
        </xdr:cNvPr>
        <xdr:cNvSpPr txBox="1"/>
      </xdr:nvSpPr>
      <xdr:spPr>
        <a:xfrm>
          <a:off x="0" y="561975"/>
          <a:ext cx="6315075" cy="4171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/>
            <a:t>Nombre: Agrometal S.A.I</a:t>
          </a:r>
        </a:p>
        <a:p>
          <a:r>
            <a:rPr lang="es-ES" sz="1100"/>
            <a:t>Ticker: AGRO</a:t>
          </a:r>
        </a:p>
        <a:p>
          <a:r>
            <a:rPr lang="es-ES" sz="1100"/>
            <a:t>Industria: Maquinaria, herramientas, vehículos pesados, trenes y barcos</a:t>
          </a:r>
        </a:p>
        <a:p>
          <a:r>
            <a:rPr lang="es-ES" sz="1100"/>
            <a:t>Sector: Industrial</a:t>
          </a:r>
        </a:p>
        <a:p>
          <a:r>
            <a:rPr lang="es-ES" sz="1100"/>
            <a:t>Mercado:</a:t>
          </a:r>
          <a:r>
            <a:rPr lang="es-ES" sz="1100" baseline="0"/>
            <a:t> Argentina</a:t>
          </a:r>
        </a:p>
        <a:p>
          <a:r>
            <a:rPr lang="es-ES" sz="1100" baseline="0"/>
            <a:t>Tipo de acción: ORD</a:t>
          </a:r>
        </a:p>
        <a:p>
          <a:r>
            <a:rPr lang="es-ES" sz="1100" baseline="0"/>
            <a:t>Web: </a:t>
          </a:r>
          <a:r>
            <a:rPr lang="es-ES" sz="1100" b="0" i="0" u="sng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www.agrometal.com</a:t>
          </a:r>
          <a:endParaRPr lang="es-ES" sz="1100" b="0" i="0" u="sng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="0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Dirección: Dirección de Juan Carlos Negrini</a:t>
          </a:r>
          <a:endParaRPr lang="es-ES" sz="1100" b="0" u="none"/>
        </a:p>
        <a:p>
          <a:r>
            <a:rPr lang="es-ES" sz="1100" b="1"/>
            <a:t>Perfil</a:t>
          </a:r>
          <a:r>
            <a:rPr lang="es-ES" sz="1100"/>
            <a:t>:</a:t>
          </a:r>
          <a:r>
            <a:rPr lang="es-ES" sz="1100" baseline="0"/>
            <a:t> </a:t>
          </a:r>
          <a:r>
            <a:rPr lang="es-E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Agrometal S.A.I., es una compañía argentina dedicada a la fabricación de maquinaria agrícola para mover y sembrar suelos. La gama de productos de la compañía incluye máquinas sembradoras de grano grueso y fino, que se comercializan con la marca Agrometal directamente desde sus instalaciones de producción en la municipalidad de Monte Maíz y a través de una red de distribuidores nacional. La compañía también ofrece capacitación técnica para sus clientes, así como asistencia posventa y una línea telefónica de atención al cliente.</a:t>
          </a:r>
        </a:p>
        <a:p>
          <a:r>
            <a:rPr lang="es-E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Historia</a:t>
          </a:r>
          <a:r>
            <a:rPr lang="es-E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Agrometal es una destacada empresa argentina ubicada en Monte Maíz, provincia de Córdoba, especializada en la fabricación de sembradoras para granos finos y gruesos. Fundada en 1950 por un grupo de 47 emprendedores locales, la empresa ha desarrollado una sólida trayectoria en el sector agroindustrial, destacándose por su capacidad de innovación y su compromiso con la calidad. El inicio de Agrometal en 1950 marcó el comienzo de una empresa destinada a cubrir las necesidades del sector agrícola local. En sus primeros años, la compañía se enfocó en la producción de implementos agrícolas básicos, ganando rápidamente reconocimiento por la calidad y durabilidad de sus productos</a:t>
          </a:r>
          <a:endParaRPr lang="es-ES" sz="1100"/>
        </a:p>
      </xdr:txBody>
    </xdr:sp>
    <xdr:clientData/>
  </xdr:twoCellAnchor>
  <xdr:twoCellAnchor editAs="oneCell">
    <xdr:from>
      <xdr:col>0</xdr:col>
      <xdr:colOff>38100</xdr:colOff>
      <xdr:row>0</xdr:row>
      <xdr:rowOff>95250</xdr:rowOff>
    </xdr:from>
    <xdr:to>
      <xdr:col>2</xdr:col>
      <xdr:colOff>695325</xdr:colOff>
      <xdr:row>2</xdr:row>
      <xdr:rowOff>104775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94E0DE-0253-469A-A652-CB99C7BEF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95250"/>
          <a:ext cx="233362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752475</xdr:colOff>
      <xdr:row>0</xdr:row>
      <xdr:rowOff>76925</xdr:rowOff>
    </xdr:from>
    <xdr:to>
      <xdr:col>15</xdr:col>
      <xdr:colOff>277238</xdr:colOff>
      <xdr:row>20</xdr:row>
      <xdr:rowOff>162560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B8B3A00-4272-4DE3-AF55-3B84673B6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96275" y="76925"/>
          <a:ext cx="5906513" cy="3705135"/>
        </a:xfrm>
        <a:prstGeom prst="rect">
          <a:avLst/>
        </a:prstGeom>
      </xdr:spPr>
    </xdr:pic>
    <xdr:clientData/>
  </xdr:twoCellAnchor>
  <xdr:twoCellAnchor>
    <xdr:from>
      <xdr:col>13</xdr:col>
      <xdr:colOff>485775</xdr:colOff>
      <xdr:row>26</xdr:row>
      <xdr:rowOff>171450</xdr:rowOff>
    </xdr:from>
    <xdr:to>
      <xdr:col>18</xdr:col>
      <xdr:colOff>585786</xdr:colOff>
      <xdr:row>43</xdr:row>
      <xdr:rowOff>19050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948547F5-ADCE-4AA7-9B82-A5B920817D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76200</xdr:rowOff>
    </xdr:from>
    <xdr:to>
      <xdr:col>3</xdr:col>
      <xdr:colOff>477221</xdr:colOff>
      <xdr:row>4</xdr:row>
      <xdr:rowOff>9524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8E4BB3D-A0A1-445D-9119-28E32D55F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2991821" cy="476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509587</xdr:colOff>
      <xdr:row>3</xdr:row>
      <xdr:rowOff>171450</xdr:rowOff>
    </xdr:from>
    <xdr:to>
      <xdr:col>17</xdr:col>
      <xdr:colOff>52387</xdr:colOff>
      <xdr:row>17</xdr:row>
      <xdr:rowOff>19050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64454D5-C19F-4803-8738-8BBF311E8C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414337</xdr:colOff>
      <xdr:row>17</xdr:row>
      <xdr:rowOff>38100</xdr:rowOff>
    </xdr:from>
    <xdr:to>
      <xdr:col>16</xdr:col>
      <xdr:colOff>795337</xdr:colOff>
      <xdr:row>32</xdr:row>
      <xdr:rowOff>66675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D38ADE6-9135-41C2-A3F9-79B1D543A6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559594</xdr:colOff>
      <xdr:row>17</xdr:row>
      <xdr:rowOff>86914</xdr:rowOff>
    </xdr:from>
    <xdr:to>
      <xdr:col>11</xdr:col>
      <xdr:colOff>273844</xdr:colOff>
      <xdr:row>32</xdr:row>
      <xdr:rowOff>151208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D7CAD69-EA7F-403A-BAD4-29B004888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404812</xdr:colOff>
      <xdr:row>32</xdr:row>
      <xdr:rowOff>182164</xdr:rowOff>
    </xdr:from>
    <xdr:to>
      <xdr:col>16</xdr:col>
      <xdr:colOff>809625</xdr:colOff>
      <xdr:row>47</xdr:row>
      <xdr:rowOff>67864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858DD12-999A-4183-86FA-1B847B996C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497681</xdr:colOff>
      <xdr:row>33</xdr:row>
      <xdr:rowOff>64293</xdr:rowOff>
    </xdr:from>
    <xdr:to>
      <xdr:col>10</xdr:col>
      <xdr:colOff>707231</xdr:colOff>
      <xdr:row>47</xdr:row>
      <xdr:rowOff>78581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85EC729-8646-490F-B98A-2B3D855EF6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140</xdr:row>
      <xdr:rowOff>0</xdr:rowOff>
    </xdr:from>
    <xdr:to>
      <xdr:col>4</xdr:col>
      <xdr:colOff>433663</xdr:colOff>
      <xdr:row>145</xdr:row>
      <xdr:rowOff>33997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D4F80582-D0F8-40D6-95BD-82784DED3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251333"/>
          <a:ext cx="6563641" cy="933580"/>
        </a:xfrm>
        <a:prstGeom prst="rect">
          <a:avLst/>
        </a:prstGeom>
      </xdr:spPr>
    </xdr:pic>
    <xdr:clientData/>
  </xdr:twoCellAnchor>
  <xdr:twoCellAnchor editAs="oneCell">
    <xdr:from>
      <xdr:col>3</xdr:col>
      <xdr:colOff>1136316</xdr:colOff>
      <xdr:row>2</xdr:row>
      <xdr:rowOff>66843</xdr:rowOff>
    </xdr:from>
    <xdr:to>
      <xdr:col>6</xdr:col>
      <xdr:colOff>340816</xdr:colOff>
      <xdr:row>4</xdr:row>
      <xdr:rowOff>180235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91B4F288-2810-4F69-A60A-45E99A922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9342" y="501317"/>
          <a:ext cx="2981079" cy="4810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19049</xdr:colOff>
      <xdr:row>85</xdr:row>
      <xdr:rowOff>76200</xdr:rowOff>
    </xdr:from>
    <xdr:to>
      <xdr:col>12</xdr:col>
      <xdr:colOff>400049</xdr:colOff>
      <xdr:row>100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9FD4345-6F6C-4E24-844A-32E68CF926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330200</xdr:colOff>
      <xdr:row>100</xdr:row>
      <xdr:rowOff>0</xdr:rowOff>
    </xdr:from>
    <xdr:to>
      <xdr:col>20</xdr:col>
      <xdr:colOff>95249</xdr:colOff>
      <xdr:row>114</xdr:row>
      <xdr:rowOff>127000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95ABFA8-16C8-4589-A127-DEDCA2190B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273049</xdr:colOff>
      <xdr:row>100</xdr:row>
      <xdr:rowOff>25400</xdr:rowOff>
    </xdr:from>
    <xdr:to>
      <xdr:col>25</xdr:col>
      <xdr:colOff>654049</xdr:colOff>
      <xdr:row>115</xdr:row>
      <xdr:rowOff>25400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30C1B73-BC00-4A05-843B-1C2CC98B30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234949</xdr:colOff>
      <xdr:row>115</xdr:row>
      <xdr:rowOff>101600</xdr:rowOff>
    </xdr:from>
    <xdr:to>
      <xdr:col>25</xdr:col>
      <xdr:colOff>615949</xdr:colOff>
      <xdr:row>130</xdr:row>
      <xdr:rowOff>127000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29C21DB-09CE-4100-9374-7ADEEEF462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26096</xdr:colOff>
      <xdr:row>1</xdr:row>
      <xdr:rowOff>73585</xdr:rowOff>
    </xdr:from>
    <xdr:to>
      <xdr:col>1</xdr:col>
      <xdr:colOff>858179</xdr:colOff>
      <xdr:row>4</xdr:row>
      <xdr:rowOff>18206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F936015-21BA-44B2-92E3-7E4178C48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6" y="256256"/>
          <a:ext cx="2998042" cy="4926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434496</xdr:colOff>
      <xdr:row>3</xdr:row>
      <xdr:rowOff>128914</xdr:rowOff>
    </xdr:from>
    <xdr:to>
      <xdr:col>11</xdr:col>
      <xdr:colOff>831154</xdr:colOff>
      <xdr:row>18</xdr:row>
      <xdr:rowOff>92902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78E10F0-301E-4FB4-8C7C-5EF4A5FBC1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126066</xdr:rowOff>
    </xdr:from>
    <xdr:to>
      <xdr:col>2</xdr:col>
      <xdr:colOff>308630</xdr:colOff>
      <xdr:row>3</xdr:row>
      <xdr:rowOff>72414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D6DC690-8B2D-49F6-B660-2CEAF72D7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6066"/>
          <a:ext cx="2998042" cy="4926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11906</xdr:rowOff>
    </xdr:from>
    <xdr:to>
      <xdr:col>10</xdr:col>
      <xdr:colOff>170040</xdr:colOff>
      <xdr:row>3</xdr:row>
      <xdr:rowOff>119061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78C0BE4-DB13-4D7B-B886-583F1B390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4719" y="202406"/>
          <a:ext cx="2991821" cy="476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295275</xdr:colOff>
      <xdr:row>12</xdr:row>
      <xdr:rowOff>57150</xdr:rowOff>
    </xdr:from>
    <xdr:to>
      <xdr:col>12</xdr:col>
      <xdr:colOff>676275</xdr:colOff>
      <xdr:row>26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FD5F4BD-3C5F-4052-80B0-F3A365A799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347662</xdr:colOff>
      <xdr:row>0</xdr:row>
      <xdr:rowOff>123825</xdr:rowOff>
    </xdr:from>
    <xdr:to>
      <xdr:col>12</xdr:col>
      <xdr:colOff>523875</xdr:colOff>
      <xdr:row>11</xdr:row>
      <xdr:rowOff>19050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69C8669-01A5-4390-9263-A0C881503E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338137</xdr:colOff>
      <xdr:row>27</xdr:row>
      <xdr:rowOff>19050</xdr:rowOff>
    </xdr:from>
    <xdr:to>
      <xdr:col>12</xdr:col>
      <xdr:colOff>719137</xdr:colOff>
      <xdr:row>42</xdr:row>
      <xdr:rowOff>47625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9FB1ECF-F4EF-443B-86CF-7E3BE488C9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i%20unidad/Universidad/5to%20a&#241;o/Econom&#237;a%20T&#233;cnica%20Burs&#225;til/TP%2010,11,12/TP1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TP%2010,11,12/TP%20Valuation%20-%20Camus%20Luca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igna"/>
      <sheetName val="Base"/>
      <sheetName val="1.Cotización"/>
      <sheetName val="2. Research"/>
      <sheetName val="3. Macro"/>
    </sheetNames>
    <sheetDataSet>
      <sheetData sheetId="0"/>
      <sheetData sheetId="1">
        <row r="5">
          <cell r="A5">
            <v>45813</v>
          </cell>
          <cell r="B5">
            <v>1192.3800000000001</v>
          </cell>
          <cell r="K5">
            <v>45814</v>
          </cell>
          <cell r="L5">
            <v>2156778.5</v>
          </cell>
          <cell r="N5">
            <v>45814</v>
          </cell>
          <cell r="O5">
            <v>688</v>
          </cell>
        </row>
        <row r="6">
          <cell r="A6">
            <v>45812</v>
          </cell>
          <cell r="B6">
            <v>1193.22</v>
          </cell>
          <cell r="K6">
            <v>45813</v>
          </cell>
          <cell r="L6">
            <v>2124156</v>
          </cell>
          <cell r="N6">
            <v>45813</v>
          </cell>
          <cell r="O6">
            <v>688</v>
          </cell>
        </row>
        <row r="7">
          <cell r="A7">
            <v>45811</v>
          </cell>
          <cell r="B7">
            <v>1189.67</v>
          </cell>
          <cell r="K7">
            <v>45812</v>
          </cell>
          <cell r="L7">
            <v>2126915.25</v>
          </cell>
          <cell r="N7">
            <v>45812</v>
          </cell>
          <cell r="O7">
            <v>688</v>
          </cell>
        </row>
        <row r="8">
          <cell r="A8">
            <v>45810</v>
          </cell>
          <cell r="B8">
            <v>1183.78</v>
          </cell>
          <cell r="K8">
            <v>45811</v>
          </cell>
          <cell r="L8">
            <v>2224638</v>
          </cell>
          <cell r="N8">
            <v>45811</v>
          </cell>
          <cell r="O8">
            <v>668</v>
          </cell>
        </row>
        <row r="9">
          <cell r="A9">
            <v>45807</v>
          </cell>
          <cell r="B9">
            <v>1191.72</v>
          </cell>
          <cell r="K9">
            <v>45810</v>
          </cell>
          <cell r="L9">
            <v>2206291.25</v>
          </cell>
          <cell r="N9">
            <v>45806</v>
          </cell>
          <cell r="O9">
            <v>663</v>
          </cell>
        </row>
        <row r="10">
          <cell r="A10">
            <v>45806</v>
          </cell>
          <cell r="B10">
            <v>1181.9000000000001</v>
          </cell>
          <cell r="K10">
            <v>45807</v>
          </cell>
          <cell r="L10">
            <v>2278991.5</v>
          </cell>
          <cell r="N10">
            <v>45805</v>
          </cell>
          <cell r="O10">
            <v>655</v>
          </cell>
        </row>
        <row r="11">
          <cell r="A11">
            <v>45805</v>
          </cell>
          <cell r="B11">
            <v>1164.8</v>
          </cell>
          <cell r="K11">
            <v>45806</v>
          </cell>
          <cell r="L11">
            <v>2308055.75</v>
          </cell>
          <cell r="N11">
            <v>45804</v>
          </cell>
          <cell r="O11">
            <v>666</v>
          </cell>
        </row>
        <row r="12">
          <cell r="A12">
            <v>45804</v>
          </cell>
          <cell r="B12">
            <v>1161.3</v>
          </cell>
          <cell r="K12">
            <v>45805</v>
          </cell>
          <cell r="L12">
            <v>2344329.5</v>
          </cell>
          <cell r="N12">
            <v>45803</v>
          </cell>
          <cell r="O12">
            <v>666</v>
          </cell>
        </row>
        <row r="13">
          <cell r="A13">
            <v>45803</v>
          </cell>
          <cell r="B13">
            <v>1145.42</v>
          </cell>
          <cell r="K13">
            <v>45804</v>
          </cell>
          <cell r="L13">
            <v>2355098.25</v>
          </cell>
          <cell r="N13">
            <v>45800</v>
          </cell>
          <cell r="O13">
            <v>665</v>
          </cell>
        </row>
        <row r="14">
          <cell r="A14">
            <v>45800</v>
          </cell>
          <cell r="B14">
            <v>1143.32</v>
          </cell>
          <cell r="K14">
            <v>45803</v>
          </cell>
          <cell r="L14">
            <v>2370800</v>
          </cell>
          <cell r="N14">
            <v>45799</v>
          </cell>
          <cell r="O14">
            <v>665</v>
          </cell>
        </row>
        <row r="15">
          <cell r="A15">
            <v>45799</v>
          </cell>
          <cell r="B15">
            <v>1143.49</v>
          </cell>
          <cell r="K15">
            <v>45800</v>
          </cell>
          <cell r="L15">
            <v>2345902.25</v>
          </cell>
          <cell r="N15">
            <v>45798</v>
          </cell>
          <cell r="O15">
            <v>661</v>
          </cell>
        </row>
        <row r="16">
          <cell r="A16">
            <v>45798</v>
          </cell>
          <cell r="B16">
            <v>1148.8</v>
          </cell>
          <cell r="K16">
            <v>45799</v>
          </cell>
          <cell r="L16">
            <v>2314897</v>
          </cell>
          <cell r="N16">
            <v>45797</v>
          </cell>
          <cell r="O16">
            <v>663</v>
          </cell>
          <cell r="V16">
            <v>0.36099999999999999</v>
          </cell>
        </row>
        <row r="17">
          <cell r="A17">
            <v>45797</v>
          </cell>
          <cell r="B17">
            <v>1153.33</v>
          </cell>
          <cell r="K17">
            <v>45798</v>
          </cell>
          <cell r="L17">
            <v>2319548.5</v>
          </cell>
          <cell r="N17">
            <v>45796</v>
          </cell>
          <cell r="O17">
            <v>675</v>
          </cell>
        </row>
        <row r="18">
          <cell r="A18">
            <v>45796</v>
          </cell>
          <cell r="B18">
            <v>1148.77</v>
          </cell>
          <cell r="K18">
            <v>45797</v>
          </cell>
          <cell r="L18">
            <v>2378464</v>
          </cell>
          <cell r="N18">
            <v>45793</v>
          </cell>
          <cell r="O18">
            <v>676</v>
          </cell>
        </row>
        <row r="19">
          <cell r="A19">
            <v>45793</v>
          </cell>
          <cell r="B19">
            <v>1155.1199999999999</v>
          </cell>
          <cell r="K19">
            <v>45796</v>
          </cell>
          <cell r="L19">
            <v>2369505.25</v>
          </cell>
          <cell r="N19">
            <v>45792</v>
          </cell>
          <cell r="O19">
            <v>676</v>
          </cell>
        </row>
        <row r="20">
          <cell r="A20">
            <v>45792</v>
          </cell>
          <cell r="B20">
            <v>1140.92</v>
          </cell>
          <cell r="K20">
            <v>45793</v>
          </cell>
          <cell r="L20">
            <v>2318360</v>
          </cell>
          <cell r="N20">
            <v>45791</v>
          </cell>
          <cell r="O20">
            <v>648</v>
          </cell>
        </row>
        <row r="21">
          <cell r="A21">
            <v>45791</v>
          </cell>
          <cell r="B21">
            <v>1140.92</v>
          </cell>
          <cell r="K21">
            <v>45792</v>
          </cell>
          <cell r="L21">
            <v>2298473</v>
          </cell>
          <cell r="N21">
            <v>45790</v>
          </cell>
          <cell r="O21">
            <v>651</v>
          </cell>
        </row>
        <row r="22">
          <cell r="A22">
            <v>45790</v>
          </cell>
          <cell r="B22">
            <v>1140.92</v>
          </cell>
          <cell r="K22">
            <v>45791</v>
          </cell>
          <cell r="L22">
            <v>2301643.25</v>
          </cell>
          <cell r="N22">
            <v>45789</v>
          </cell>
          <cell r="O22">
            <v>650</v>
          </cell>
        </row>
        <row r="23">
          <cell r="A23">
            <v>45789</v>
          </cell>
          <cell r="B23">
            <v>1141.2</v>
          </cell>
          <cell r="K23">
            <v>45790</v>
          </cell>
          <cell r="L23">
            <v>2285483.25</v>
          </cell>
          <cell r="N23">
            <v>45786</v>
          </cell>
          <cell r="O23">
            <v>678</v>
          </cell>
        </row>
        <row r="24">
          <cell r="A24">
            <v>45786</v>
          </cell>
          <cell r="B24">
            <v>1144.1099999999999</v>
          </cell>
          <cell r="K24">
            <v>45789</v>
          </cell>
          <cell r="L24">
            <v>2230394.75</v>
          </cell>
          <cell r="N24">
            <v>45785</v>
          </cell>
          <cell r="O24">
            <v>678</v>
          </cell>
        </row>
        <row r="25">
          <cell r="A25">
            <v>45785</v>
          </cell>
          <cell r="B25">
            <v>1143.32</v>
          </cell>
          <cell r="K25">
            <v>45786</v>
          </cell>
          <cell r="L25">
            <v>2114385.5</v>
          </cell>
          <cell r="N25">
            <v>45784</v>
          </cell>
          <cell r="O25">
            <v>766</v>
          </cell>
        </row>
        <row r="26">
          <cell r="A26">
            <v>45784</v>
          </cell>
          <cell r="B26">
            <v>1156.07</v>
          </cell>
          <cell r="K26">
            <v>45785</v>
          </cell>
          <cell r="L26">
            <v>2061722.25</v>
          </cell>
          <cell r="N26">
            <v>45783</v>
          </cell>
          <cell r="O26">
            <v>741</v>
          </cell>
        </row>
        <row r="27">
          <cell r="A27">
            <v>45783</v>
          </cell>
          <cell r="B27">
            <v>1199.6099999999999</v>
          </cell>
          <cell r="K27">
            <v>45784</v>
          </cell>
          <cell r="L27">
            <v>2059914.88</v>
          </cell>
          <cell r="N27">
            <v>45782</v>
          </cell>
          <cell r="O27">
            <v>741</v>
          </cell>
        </row>
        <row r="28">
          <cell r="A28">
            <v>45782</v>
          </cell>
          <cell r="B28">
            <v>1202.92</v>
          </cell>
          <cell r="K28">
            <v>45783</v>
          </cell>
          <cell r="L28">
            <v>2129994.5</v>
          </cell>
          <cell r="N28">
            <v>45779</v>
          </cell>
          <cell r="O28">
            <v>741</v>
          </cell>
          <cell r="V28">
            <v>0.50941633543466325</v>
          </cell>
        </row>
        <row r="29">
          <cell r="A29">
            <v>45779</v>
          </cell>
          <cell r="B29">
            <v>1183.3699999999999</v>
          </cell>
          <cell r="K29">
            <v>45782</v>
          </cell>
          <cell r="L29">
            <v>2059931.63</v>
          </cell>
          <cell r="N29">
            <v>45778</v>
          </cell>
          <cell r="O29">
            <v>735</v>
          </cell>
        </row>
        <row r="30">
          <cell r="A30">
            <v>45778</v>
          </cell>
          <cell r="B30">
            <v>1183.3699999999999</v>
          </cell>
          <cell r="K30">
            <v>45777</v>
          </cell>
          <cell r="L30">
            <v>2100843.75</v>
          </cell>
          <cell r="N30">
            <v>45777</v>
          </cell>
          <cell r="O30">
            <v>726</v>
          </cell>
        </row>
        <row r="31">
          <cell r="A31">
            <v>45777</v>
          </cell>
          <cell r="B31">
            <v>1183.3699999999999</v>
          </cell>
          <cell r="K31">
            <v>45776</v>
          </cell>
          <cell r="L31">
            <v>2158847.75</v>
          </cell>
          <cell r="N31">
            <v>45776</v>
          </cell>
          <cell r="O31">
            <v>701</v>
          </cell>
        </row>
        <row r="32">
          <cell r="A32">
            <v>45776</v>
          </cell>
          <cell r="B32">
            <v>1173.1500000000001</v>
          </cell>
          <cell r="K32">
            <v>45775</v>
          </cell>
          <cell r="L32">
            <v>2179248.75</v>
          </cell>
          <cell r="N32">
            <v>45775</v>
          </cell>
          <cell r="O32">
            <v>710</v>
          </cell>
        </row>
        <row r="33">
          <cell r="A33">
            <v>45775</v>
          </cell>
          <cell r="B33">
            <v>1176.55</v>
          </cell>
          <cell r="K33">
            <v>45772</v>
          </cell>
          <cell r="L33">
            <v>2225242.75</v>
          </cell>
          <cell r="N33">
            <v>45772</v>
          </cell>
          <cell r="O33">
            <v>692</v>
          </cell>
        </row>
        <row r="34">
          <cell r="A34">
            <v>45772</v>
          </cell>
          <cell r="B34">
            <v>1184.24</v>
          </cell>
          <cell r="K34">
            <v>45771</v>
          </cell>
          <cell r="L34">
            <v>2232745.25</v>
          </cell>
          <cell r="N34">
            <v>45771</v>
          </cell>
          <cell r="O34">
            <v>713</v>
          </cell>
        </row>
        <row r="35">
          <cell r="A35">
            <v>45771</v>
          </cell>
          <cell r="B35">
            <v>1186.53</v>
          </cell>
          <cell r="K35">
            <v>45770</v>
          </cell>
          <cell r="L35">
            <v>2239402</v>
          </cell>
          <cell r="N35">
            <v>45770</v>
          </cell>
          <cell r="O35">
            <v>720</v>
          </cell>
        </row>
        <row r="36">
          <cell r="A36">
            <v>45770</v>
          </cell>
          <cell r="B36">
            <v>1168</v>
          </cell>
          <cell r="K36">
            <v>45769</v>
          </cell>
          <cell r="L36">
            <v>2163891</v>
          </cell>
          <cell r="N36">
            <v>45769</v>
          </cell>
          <cell r="O36">
            <v>720</v>
          </cell>
        </row>
        <row r="37">
          <cell r="A37">
            <v>45769</v>
          </cell>
          <cell r="B37">
            <v>1140.3800000000001</v>
          </cell>
          <cell r="K37">
            <v>45768</v>
          </cell>
          <cell r="L37">
            <v>2045707.38</v>
          </cell>
          <cell r="N37">
            <v>45768</v>
          </cell>
          <cell r="O37">
            <v>720</v>
          </cell>
        </row>
        <row r="38">
          <cell r="A38">
            <v>45768</v>
          </cell>
          <cell r="B38">
            <v>1122.08</v>
          </cell>
          <cell r="K38">
            <v>45763</v>
          </cell>
          <cell r="L38">
            <v>2177975</v>
          </cell>
          <cell r="N38">
            <v>45765</v>
          </cell>
          <cell r="O38">
            <v>726</v>
          </cell>
        </row>
        <row r="39">
          <cell r="A39">
            <v>45765</v>
          </cell>
          <cell r="B39">
            <v>1165.93</v>
          </cell>
          <cell r="K39">
            <v>45762</v>
          </cell>
          <cell r="L39">
            <v>2284279.5</v>
          </cell>
          <cell r="N39">
            <v>45764</v>
          </cell>
          <cell r="O39">
            <v>745</v>
          </cell>
        </row>
        <row r="40">
          <cell r="A40">
            <v>45764</v>
          </cell>
          <cell r="B40">
            <v>1165.93</v>
          </cell>
          <cell r="K40">
            <v>45761</v>
          </cell>
          <cell r="L40">
            <v>2364950</v>
          </cell>
          <cell r="N40">
            <v>45763</v>
          </cell>
          <cell r="O40">
            <v>745</v>
          </cell>
          <cell r="V40">
            <v>0.9479318233519185</v>
          </cell>
        </row>
        <row r="41">
          <cell r="A41">
            <v>45763</v>
          </cell>
          <cell r="B41">
            <v>1165.93</v>
          </cell>
          <cell r="K41">
            <v>45758</v>
          </cell>
          <cell r="L41">
            <v>2248803</v>
          </cell>
          <cell r="N41">
            <v>45762</v>
          </cell>
          <cell r="O41">
            <v>725</v>
          </cell>
        </row>
        <row r="42">
          <cell r="A42">
            <v>45762</v>
          </cell>
          <cell r="B42">
            <v>1237.9000000000001</v>
          </cell>
          <cell r="K42">
            <v>45757</v>
          </cell>
          <cell r="L42">
            <v>2111490.25</v>
          </cell>
          <cell r="N42">
            <v>45761</v>
          </cell>
          <cell r="O42">
            <v>896</v>
          </cell>
        </row>
        <row r="43">
          <cell r="A43">
            <v>45761</v>
          </cell>
          <cell r="B43">
            <v>1253.4000000000001</v>
          </cell>
          <cell r="K43">
            <v>45756</v>
          </cell>
          <cell r="L43">
            <v>2183577</v>
          </cell>
          <cell r="N43">
            <v>45758</v>
          </cell>
          <cell r="O43">
            <v>874</v>
          </cell>
        </row>
        <row r="44">
          <cell r="A44">
            <v>45758</v>
          </cell>
          <cell r="B44">
            <v>1333.33</v>
          </cell>
          <cell r="K44">
            <v>45755</v>
          </cell>
          <cell r="L44">
            <v>1990621.25</v>
          </cell>
          <cell r="N44">
            <v>45757</v>
          </cell>
          <cell r="O44">
            <v>899</v>
          </cell>
        </row>
        <row r="45">
          <cell r="A45">
            <v>45757</v>
          </cell>
          <cell r="B45">
            <v>1364.01</v>
          </cell>
          <cell r="K45">
            <v>45754</v>
          </cell>
          <cell r="L45">
            <v>2025967.25</v>
          </cell>
          <cell r="N45">
            <v>45756</v>
          </cell>
          <cell r="O45">
            <v>889</v>
          </cell>
        </row>
        <row r="46">
          <cell r="A46">
            <v>45756</v>
          </cell>
          <cell r="B46">
            <v>1341.72</v>
          </cell>
          <cell r="K46">
            <v>45751</v>
          </cell>
          <cell r="L46">
            <v>2107816</v>
          </cell>
          <cell r="N46">
            <v>45755</v>
          </cell>
          <cell r="O46">
            <v>978</v>
          </cell>
        </row>
        <row r="47">
          <cell r="A47">
            <v>45755</v>
          </cell>
          <cell r="B47">
            <v>1376.58</v>
          </cell>
          <cell r="K47">
            <v>45750</v>
          </cell>
          <cell r="L47">
            <v>2275658.75</v>
          </cell>
          <cell r="N47">
            <v>45754</v>
          </cell>
          <cell r="O47">
            <v>960</v>
          </cell>
        </row>
        <row r="48">
          <cell r="A48">
            <v>45754</v>
          </cell>
          <cell r="B48">
            <v>1370.35</v>
          </cell>
          <cell r="K48">
            <v>45748</v>
          </cell>
          <cell r="L48">
            <v>2356530.75</v>
          </cell>
          <cell r="N48">
            <v>45751</v>
          </cell>
          <cell r="O48">
            <v>925</v>
          </cell>
        </row>
        <row r="49">
          <cell r="A49">
            <v>45751</v>
          </cell>
          <cell r="B49">
            <v>1340.44</v>
          </cell>
          <cell r="K49">
            <v>45747</v>
          </cell>
          <cell r="L49">
            <v>2338760.75</v>
          </cell>
          <cell r="N49">
            <v>45750</v>
          </cell>
          <cell r="O49">
            <v>872</v>
          </cell>
        </row>
        <row r="50">
          <cell r="A50">
            <v>45750</v>
          </cell>
          <cell r="B50">
            <v>1319.42</v>
          </cell>
          <cell r="K50">
            <v>45744</v>
          </cell>
          <cell r="L50">
            <v>2378562.75</v>
          </cell>
          <cell r="N50">
            <v>45749</v>
          </cell>
          <cell r="O50">
            <v>823</v>
          </cell>
        </row>
        <row r="51">
          <cell r="A51">
            <v>45749</v>
          </cell>
          <cell r="B51">
            <v>1314.47</v>
          </cell>
          <cell r="K51">
            <v>45743</v>
          </cell>
          <cell r="L51">
            <v>2412081.5</v>
          </cell>
          <cell r="N51">
            <v>45748</v>
          </cell>
          <cell r="O51">
            <v>823</v>
          </cell>
        </row>
        <row r="52">
          <cell r="A52">
            <v>45748</v>
          </cell>
          <cell r="B52">
            <v>1314.47</v>
          </cell>
          <cell r="K52">
            <v>45742</v>
          </cell>
          <cell r="L52">
            <v>2439966.25</v>
          </cell>
          <cell r="N52">
            <v>45747</v>
          </cell>
          <cell r="O52">
            <v>816</v>
          </cell>
          <cell r="V52">
            <v>2.114076437471768</v>
          </cell>
        </row>
        <row r="53">
          <cell r="A53">
            <v>45747</v>
          </cell>
          <cell r="B53">
            <v>1313.97</v>
          </cell>
          <cell r="K53">
            <v>45741</v>
          </cell>
          <cell r="L53">
            <v>2487679.75</v>
          </cell>
          <cell r="N53">
            <v>45744</v>
          </cell>
          <cell r="O53">
            <v>797</v>
          </cell>
        </row>
        <row r="54">
          <cell r="A54">
            <v>45744</v>
          </cell>
          <cell r="B54">
            <v>1302.44</v>
          </cell>
          <cell r="K54">
            <v>45737</v>
          </cell>
          <cell r="L54">
            <v>2433538.25</v>
          </cell>
          <cell r="N54">
            <v>45743</v>
          </cell>
          <cell r="O54">
            <v>759</v>
          </cell>
        </row>
        <row r="55">
          <cell r="A55">
            <v>45743</v>
          </cell>
          <cell r="B55">
            <v>1292.29</v>
          </cell>
          <cell r="K55">
            <v>45736</v>
          </cell>
          <cell r="L55">
            <v>2361583</v>
          </cell>
          <cell r="N55">
            <v>45742</v>
          </cell>
          <cell r="O55">
            <v>769</v>
          </cell>
        </row>
        <row r="56">
          <cell r="A56">
            <v>45742</v>
          </cell>
          <cell r="B56">
            <v>1295.6300000000001</v>
          </cell>
          <cell r="K56">
            <v>45735</v>
          </cell>
          <cell r="L56">
            <v>2392030</v>
          </cell>
          <cell r="N56">
            <v>45741</v>
          </cell>
          <cell r="O56">
            <v>761</v>
          </cell>
        </row>
        <row r="57">
          <cell r="A57">
            <v>45741</v>
          </cell>
          <cell r="B57">
            <v>1294.3</v>
          </cell>
          <cell r="K57">
            <v>45734</v>
          </cell>
          <cell r="L57">
            <v>2288538</v>
          </cell>
          <cell r="N57">
            <v>45737</v>
          </cell>
          <cell r="O57">
            <v>769</v>
          </cell>
        </row>
        <row r="58">
          <cell r="A58">
            <v>45740</v>
          </cell>
          <cell r="B58">
            <v>1287.22</v>
          </cell>
          <cell r="K58">
            <v>45733</v>
          </cell>
          <cell r="L58">
            <v>2346305.5</v>
          </cell>
          <cell r="N58">
            <v>45736</v>
          </cell>
          <cell r="O58">
            <v>762</v>
          </cell>
        </row>
        <row r="59">
          <cell r="A59">
            <v>45737</v>
          </cell>
          <cell r="B59">
            <v>1287.22</v>
          </cell>
          <cell r="K59">
            <v>45730</v>
          </cell>
          <cell r="L59">
            <v>2335574.75</v>
          </cell>
          <cell r="N59">
            <v>45735</v>
          </cell>
          <cell r="O59">
            <v>777</v>
          </cell>
        </row>
        <row r="60">
          <cell r="A60">
            <v>45736</v>
          </cell>
          <cell r="B60">
            <v>1287.5899999999999</v>
          </cell>
          <cell r="K60">
            <v>45729</v>
          </cell>
          <cell r="L60">
            <v>2232180</v>
          </cell>
          <cell r="N60">
            <v>45734</v>
          </cell>
          <cell r="O60">
            <v>787</v>
          </cell>
        </row>
        <row r="61">
          <cell r="A61">
            <v>45735</v>
          </cell>
          <cell r="B61">
            <v>1286.3800000000001</v>
          </cell>
          <cell r="K61">
            <v>45728</v>
          </cell>
          <cell r="L61">
            <v>2272936.75</v>
          </cell>
          <cell r="N61">
            <v>45733</v>
          </cell>
          <cell r="O61">
            <v>750</v>
          </cell>
        </row>
        <row r="62">
          <cell r="A62">
            <v>45734</v>
          </cell>
          <cell r="B62">
            <v>1299.32</v>
          </cell>
          <cell r="K62">
            <v>45727</v>
          </cell>
          <cell r="L62">
            <v>2159499.75</v>
          </cell>
          <cell r="N62">
            <v>45730</v>
          </cell>
          <cell r="O62">
            <v>737</v>
          </cell>
        </row>
        <row r="63">
          <cell r="A63">
            <v>45733</v>
          </cell>
          <cell r="B63">
            <v>1250.5899999999999</v>
          </cell>
          <cell r="K63">
            <v>45726</v>
          </cell>
          <cell r="L63">
            <v>2138846.25</v>
          </cell>
          <cell r="N63">
            <v>45729</v>
          </cell>
          <cell r="O63">
            <v>748</v>
          </cell>
        </row>
        <row r="64">
          <cell r="A64">
            <v>45730</v>
          </cell>
          <cell r="B64">
            <v>1237.78</v>
          </cell>
          <cell r="K64">
            <v>45723</v>
          </cell>
          <cell r="L64">
            <v>2262289.25</v>
          </cell>
          <cell r="N64">
            <v>45728</v>
          </cell>
          <cell r="O64">
            <v>718</v>
          </cell>
          <cell r="V64">
            <v>1.1776362746413853</v>
          </cell>
        </row>
        <row r="65">
          <cell r="A65">
            <v>45729</v>
          </cell>
          <cell r="B65">
            <v>1233.55</v>
          </cell>
          <cell r="K65">
            <v>45722</v>
          </cell>
          <cell r="L65">
            <v>2270181.25</v>
          </cell>
          <cell r="N65">
            <v>45727</v>
          </cell>
          <cell r="O65">
            <v>723</v>
          </cell>
        </row>
        <row r="66">
          <cell r="A66">
            <v>45728</v>
          </cell>
          <cell r="B66">
            <v>1229.3399999999999</v>
          </cell>
          <cell r="K66">
            <v>45721</v>
          </cell>
          <cell r="L66">
            <v>2290050</v>
          </cell>
          <cell r="N66">
            <v>45726</v>
          </cell>
          <cell r="O66">
            <v>723</v>
          </cell>
        </row>
        <row r="67">
          <cell r="A67">
            <v>45727</v>
          </cell>
          <cell r="B67">
            <v>1230.3800000000001</v>
          </cell>
          <cell r="K67">
            <v>45716</v>
          </cell>
          <cell r="L67">
            <v>2205800.5</v>
          </cell>
          <cell r="N67">
            <v>45723</v>
          </cell>
          <cell r="O67">
            <v>692</v>
          </cell>
        </row>
        <row r="68">
          <cell r="A68">
            <v>45726</v>
          </cell>
          <cell r="B68">
            <v>1228.92</v>
          </cell>
          <cell r="K68">
            <v>45715</v>
          </cell>
          <cell r="L68">
            <v>2193656.75</v>
          </cell>
          <cell r="N68">
            <v>45722</v>
          </cell>
          <cell r="O68">
            <v>714</v>
          </cell>
        </row>
        <row r="69">
          <cell r="A69">
            <v>45723</v>
          </cell>
          <cell r="B69">
            <v>1221.93</v>
          </cell>
          <cell r="K69">
            <v>45714</v>
          </cell>
          <cell r="L69">
            <v>2275036.75</v>
          </cell>
          <cell r="N69">
            <v>45721</v>
          </cell>
          <cell r="O69">
            <v>717</v>
          </cell>
        </row>
        <row r="70">
          <cell r="A70">
            <v>45722</v>
          </cell>
          <cell r="B70">
            <v>1237.8599999999999</v>
          </cell>
          <cell r="K70">
            <v>45713</v>
          </cell>
          <cell r="L70">
            <v>2282898.75</v>
          </cell>
          <cell r="N70">
            <v>45720</v>
          </cell>
          <cell r="O70">
            <v>780</v>
          </cell>
        </row>
        <row r="71">
          <cell r="A71">
            <v>45721</v>
          </cell>
          <cell r="B71">
            <v>1235.31</v>
          </cell>
          <cell r="K71">
            <v>45712</v>
          </cell>
          <cell r="L71">
            <v>2348398.5</v>
          </cell>
          <cell r="N71">
            <v>45719</v>
          </cell>
          <cell r="O71">
            <v>780</v>
          </cell>
        </row>
        <row r="72">
          <cell r="A72">
            <v>45720</v>
          </cell>
          <cell r="B72">
            <v>1228.48</v>
          </cell>
          <cell r="K72">
            <v>45709</v>
          </cell>
          <cell r="L72">
            <v>2364529.5</v>
          </cell>
          <cell r="N72">
            <v>45716</v>
          </cell>
          <cell r="O72">
            <v>780</v>
          </cell>
        </row>
        <row r="73">
          <cell r="A73">
            <v>45719</v>
          </cell>
          <cell r="B73">
            <v>1228.48</v>
          </cell>
          <cell r="K73">
            <v>45708</v>
          </cell>
          <cell r="L73">
            <v>2410221</v>
          </cell>
          <cell r="N73">
            <v>45715</v>
          </cell>
          <cell r="O73">
            <v>769</v>
          </cell>
        </row>
        <row r="74">
          <cell r="A74">
            <v>45716</v>
          </cell>
          <cell r="B74">
            <v>1228.48</v>
          </cell>
          <cell r="K74">
            <v>45707</v>
          </cell>
          <cell r="L74">
            <v>2401579.75</v>
          </cell>
          <cell r="N74">
            <v>45714</v>
          </cell>
          <cell r="O74">
            <v>749</v>
          </cell>
        </row>
        <row r="75">
          <cell r="A75">
            <v>45715</v>
          </cell>
          <cell r="B75">
            <v>1215.29</v>
          </cell>
          <cell r="K75">
            <v>45706</v>
          </cell>
          <cell r="L75">
            <v>2391724.75</v>
          </cell>
          <cell r="N75">
            <v>45713</v>
          </cell>
          <cell r="O75">
            <v>748</v>
          </cell>
        </row>
        <row r="76">
          <cell r="A76">
            <v>45714</v>
          </cell>
          <cell r="B76">
            <v>1211.56</v>
          </cell>
          <cell r="K76">
            <v>45705</v>
          </cell>
          <cell r="L76">
            <v>2254188.75</v>
          </cell>
          <cell r="N76">
            <v>45712</v>
          </cell>
          <cell r="O76">
            <v>730</v>
          </cell>
        </row>
        <row r="77">
          <cell r="A77">
            <v>45713</v>
          </cell>
          <cell r="B77">
            <v>1211.96</v>
          </cell>
          <cell r="K77">
            <v>45702</v>
          </cell>
          <cell r="L77">
            <v>2387385.75</v>
          </cell>
          <cell r="N77">
            <v>45709</v>
          </cell>
          <cell r="O77">
            <v>720</v>
          </cell>
        </row>
        <row r="78">
          <cell r="A78">
            <v>45712</v>
          </cell>
          <cell r="B78">
            <v>1207.48</v>
          </cell>
          <cell r="K78">
            <v>45701</v>
          </cell>
          <cell r="L78">
            <v>2353743.75</v>
          </cell>
          <cell r="N78">
            <v>45708</v>
          </cell>
          <cell r="O78">
            <v>719</v>
          </cell>
        </row>
        <row r="79">
          <cell r="A79">
            <v>45709</v>
          </cell>
          <cell r="B79">
            <v>1205.8800000000001</v>
          </cell>
          <cell r="K79">
            <v>45700</v>
          </cell>
          <cell r="L79">
            <v>2285846.5</v>
          </cell>
          <cell r="N79">
            <v>45707</v>
          </cell>
          <cell r="O79">
            <v>719</v>
          </cell>
        </row>
        <row r="80">
          <cell r="A80">
            <v>45708</v>
          </cell>
          <cell r="B80">
            <v>1206.06</v>
          </cell>
          <cell r="K80">
            <v>45699</v>
          </cell>
          <cell r="L80">
            <v>2273568</v>
          </cell>
          <cell r="N80">
            <v>45706</v>
          </cell>
          <cell r="O80">
            <v>696</v>
          </cell>
        </row>
        <row r="81">
          <cell r="A81">
            <v>45707</v>
          </cell>
          <cell r="B81">
            <v>1201.8599999999999</v>
          </cell>
          <cell r="K81">
            <v>45698</v>
          </cell>
          <cell r="L81">
            <v>2391367.5</v>
          </cell>
          <cell r="N81">
            <v>45705</v>
          </cell>
          <cell r="O81">
            <v>675</v>
          </cell>
        </row>
        <row r="82">
          <cell r="A82">
            <v>45706</v>
          </cell>
          <cell r="B82">
            <v>1203.1600000000001</v>
          </cell>
          <cell r="K82">
            <v>45695</v>
          </cell>
          <cell r="L82">
            <v>2416381.75</v>
          </cell>
          <cell r="N82">
            <v>45702</v>
          </cell>
          <cell r="O82">
            <v>675</v>
          </cell>
        </row>
        <row r="83">
          <cell r="A83">
            <v>45705</v>
          </cell>
          <cell r="B83">
            <v>1210.0899999999999</v>
          </cell>
          <cell r="K83">
            <v>45694</v>
          </cell>
          <cell r="L83">
            <v>2503483.5</v>
          </cell>
          <cell r="N83">
            <v>45701</v>
          </cell>
          <cell r="O83">
            <v>675</v>
          </cell>
        </row>
        <row r="84">
          <cell r="A84">
            <v>45702</v>
          </cell>
          <cell r="B84">
            <v>1183.8800000000001</v>
          </cell>
          <cell r="K84">
            <v>45693</v>
          </cell>
          <cell r="L84">
            <v>2477714</v>
          </cell>
          <cell r="N84">
            <v>45700</v>
          </cell>
          <cell r="O84">
            <v>673</v>
          </cell>
        </row>
        <row r="85">
          <cell r="A85">
            <v>45701</v>
          </cell>
          <cell r="B85">
            <v>1187.8900000000001</v>
          </cell>
          <cell r="K85">
            <v>45692</v>
          </cell>
          <cell r="L85">
            <v>2523647</v>
          </cell>
          <cell r="N85">
            <v>45699</v>
          </cell>
          <cell r="O85">
            <v>710</v>
          </cell>
        </row>
        <row r="86">
          <cell r="A86">
            <v>45700</v>
          </cell>
          <cell r="B86">
            <v>1186.3499999999999</v>
          </cell>
          <cell r="K86">
            <v>45691</v>
          </cell>
          <cell r="L86">
            <v>2484135.75</v>
          </cell>
          <cell r="N86">
            <v>45698</v>
          </cell>
          <cell r="O86">
            <v>677</v>
          </cell>
        </row>
        <row r="87">
          <cell r="A87">
            <v>45699</v>
          </cell>
          <cell r="B87">
            <v>1180.8499999999999</v>
          </cell>
          <cell r="K87">
            <v>45688</v>
          </cell>
          <cell r="L87">
            <v>2564659</v>
          </cell>
          <cell r="N87">
            <v>45695</v>
          </cell>
          <cell r="O87">
            <v>660</v>
          </cell>
        </row>
        <row r="88">
          <cell r="A88">
            <v>45698</v>
          </cell>
          <cell r="B88">
            <v>1184.07</v>
          </cell>
          <cell r="K88">
            <v>45687</v>
          </cell>
          <cell r="L88">
            <v>2599328.5</v>
          </cell>
          <cell r="N88">
            <v>45694</v>
          </cell>
          <cell r="O88">
            <v>659</v>
          </cell>
        </row>
        <row r="89">
          <cell r="A89">
            <v>45695</v>
          </cell>
          <cell r="B89">
            <v>1194.47</v>
          </cell>
          <cell r="K89">
            <v>45686</v>
          </cell>
          <cell r="L89">
            <v>2545355.5</v>
          </cell>
          <cell r="N89">
            <v>45693</v>
          </cell>
          <cell r="O89">
            <v>660</v>
          </cell>
        </row>
        <row r="90">
          <cell r="A90">
            <v>45694</v>
          </cell>
          <cell r="B90">
            <v>1189.03</v>
          </cell>
          <cell r="K90">
            <v>45685</v>
          </cell>
          <cell r="L90">
            <v>2435628.75</v>
          </cell>
          <cell r="N90">
            <v>45692</v>
          </cell>
          <cell r="O90">
            <v>640</v>
          </cell>
        </row>
        <row r="91">
          <cell r="A91">
            <v>45693</v>
          </cell>
          <cell r="B91">
            <v>1191.94</v>
          </cell>
          <cell r="K91">
            <v>45684</v>
          </cell>
          <cell r="L91">
            <v>2439098.75</v>
          </cell>
          <cell r="N91">
            <v>45691</v>
          </cell>
          <cell r="O91">
            <v>632</v>
          </cell>
        </row>
        <row r="92">
          <cell r="A92">
            <v>45692</v>
          </cell>
          <cell r="B92">
            <v>1188</v>
          </cell>
          <cell r="K92">
            <v>45681</v>
          </cell>
          <cell r="L92">
            <v>2566082.25</v>
          </cell>
          <cell r="N92">
            <v>45688</v>
          </cell>
          <cell r="O92">
            <v>618</v>
          </cell>
        </row>
        <row r="93">
          <cell r="A93">
            <v>45691</v>
          </cell>
          <cell r="B93">
            <v>1178.82</v>
          </cell>
          <cell r="K93">
            <v>45680</v>
          </cell>
          <cell r="L93">
            <v>2625050</v>
          </cell>
          <cell r="N93">
            <v>45687</v>
          </cell>
          <cell r="O93">
            <v>614</v>
          </cell>
        </row>
        <row r="94">
          <cell r="A94">
            <v>45688</v>
          </cell>
          <cell r="B94">
            <v>1164.79</v>
          </cell>
          <cell r="K94">
            <v>45679</v>
          </cell>
          <cell r="L94">
            <v>2680945.75</v>
          </cell>
          <cell r="N94">
            <v>45686</v>
          </cell>
          <cell r="O94">
            <v>611</v>
          </cell>
        </row>
        <row r="95">
          <cell r="A95">
            <v>45687</v>
          </cell>
          <cell r="B95">
            <v>1164.8900000000001</v>
          </cell>
          <cell r="K95">
            <v>45678</v>
          </cell>
          <cell r="L95">
            <v>2619719.25</v>
          </cell>
          <cell r="N95">
            <v>45685</v>
          </cell>
          <cell r="O95">
            <v>634</v>
          </cell>
        </row>
        <row r="96">
          <cell r="A96">
            <v>45686</v>
          </cell>
          <cell r="B96">
            <v>1163.3599999999999</v>
          </cell>
          <cell r="K96">
            <v>45677</v>
          </cell>
          <cell r="L96">
            <v>2536837.5</v>
          </cell>
          <cell r="N96">
            <v>45684</v>
          </cell>
          <cell r="O96">
            <v>642</v>
          </cell>
        </row>
        <row r="97">
          <cell r="A97">
            <v>45685</v>
          </cell>
          <cell r="B97">
            <v>1161.3800000000001</v>
          </cell>
          <cell r="K97">
            <v>45674</v>
          </cell>
          <cell r="L97">
            <v>2510886</v>
          </cell>
          <cell r="N97">
            <v>45681</v>
          </cell>
          <cell r="O97">
            <v>631</v>
          </cell>
        </row>
        <row r="98">
          <cell r="A98">
            <v>45684</v>
          </cell>
          <cell r="B98">
            <v>1162.22</v>
          </cell>
          <cell r="K98">
            <v>45673</v>
          </cell>
          <cell r="L98">
            <v>2629377</v>
          </cell>
          <cell r="N98">
            <v>45680</v>
          </cell>
          <cell r="O98">
            <v>646</v>
          </cell>
        </row>
        <row r="99">
          <cell r="A99">
            <v>45681</v>
          </cell>
          <cell r="B99">
            <v>1155.75</v>
          </cell>
          <cell r="K99">
            <v>45672</v>
          </cell>
          <cell r="L99">
            <v>2704473.75</v>
          </cell>
          <cell r="N99">
            <v>45679</v>
          </cell>
          <cell r="O99">
            <v>640</v>
          </cell>
        </row>
        <row r="100">
          <cell r="A100">
            <v>45680</v>
          </cell>
          <cell r="B100">
            <v>1167.3499999999999</v>
          </cell>
          <cell r="K100">
            <v>45671</v>
          </cell>
          <cell r="L100">
            <v>2733273.25</v>
          </cell>
          <cell r="N100">
            <v>45678</v>
          </cell>
          <cell r="O100">
            <v>638</v>
          </cell>
        </row>
        <row r="101">
          <cell r="A101">
            <v>45679</v>
          </cell>
          <cell r="B101">
            <v>1172.67</v>
          </cell>
          <cell r="K101">
            <v>45670</v>
          </cell>
          <cell r="L101">
            <v>2655178.5</v>
          </cell>
          <cell r="N101">
            <v>45677</v>
          </cell>
          <cell r="O101">
            <v>641</v>
          </cell>
        </row>
        <row r="102">
          <cell r="A102">
            <v>45678</v>
          </cell>
          <cell r="B102">
            <v>1167.6099999999999</v>
          </cell>
          <cell r="K102">
            <v>45667</v>
          </cell>
          <cell r="L102">
            <v>2805139.75</v>
          </cell>
          <cell r="N102">
            <v>45674</v>
          </cell>
          <cell r="O102">
            <v>644</v>
          </cell>
        </row>
        <row r="103">
          <cell r="A103">
            <v>45677</v>
          </cell>
          <cell r="B103">
            <v>1165.9000000000001</v>
          </cell>
          <cell r="K103">
            <v>45666</v>
          </cell>
          <cell r="L103">
            <v>2829730.5</v>
          </cell>
          <cell r="N103">
            <v>45673</v>
          </cell>
          <cell r="O103">
            <v>626</v>
          </cell>
        </row>
        <row r="104">
          <cell r="A104">
            <v>45674</v>
          </cell>
          <cell r="B104">
            <v>1165.8399999999999</v>
          </cell>
          <cell r="K104">
            <v>45665</v>
          </cell>
          <cell r="L104">
            <v>2782477</v>
          </cell>
          <cell r="N104">
            <v>45672</v>
          </cell>
          <cell r="O104">
            <v>597</v>
          </cell>
        </row>
        <row r="105">
          <cell r="A105">
            <v>45673</v>
          </cell>
          <cell r="B105">
            <v>1166.03</v>
          </cell>
          <cell r="K105">
            <v>45664</v>
          </cell>
          <cell r="L105">
            <v>2822174.5</v>
          </cell>
          <cell r="N105">
            <v>45671</v>
          </cell>
          <cell r="O105">
            <v>579</v>
          </cell>
        </row>
        <row r="106">
          <cell r="A106">
            <v>45672</v>
          </cell>
          <cell r="B106">
            <v>1164.05</v>
          </cell>
          <cell r="K106">
            <v>45663</v>
          </cell>
          <cell r="L106">
            <v>2801220.75</v>
          </cell>
          <cell r="N106">
            <v>45670</v>
          </cell>
          <cell r="O106">
            <v>589</v>
          </cell>
        </row>
        <row r="107">
          <cell r="A107">
            <v>45671</v>
          </cell>
          <cell r="B107">
            <v>1162.93</v>
          </cell>
          <cell r="K107">
            <v>45660</v>
          </cell>
          <cell r="L107">
            <v>2728911</v>
          </cell>
          <cell r="N107">
            <v>45667</v>
          </cell>
          <cell r="O107">
            <v>580</v>
          </cell>
        </row>
        <row r="108">
          <cell r="A108">
            <v>45670</v>
          </cell>
          <cell r="B108">
            <v>1163.21</v>
          </cell>
          <cell r="K108">
            <v>45659</v>
          </cell>
          <cell r="L108">
            <v>2695646.5</v>
          </cell>
          <cell r="N108">
            <v>45666</v>
          </cell>
          <cell r="O108">
            <v>560</v>
          </cell>
        </row>
        <row r="109">
          <cell r="A109">
            <v>45667</v>
          </cell>
          <cell r="B109">
            <v>1164.01</v>
          </cell>
          <cell r="K109">
            <v>45656</v>
          </cell>
          <cell r="L109">
            <v>2533634.75</v>
          </cell>
          <cell r="N109">
            <v>45665</v>
          </cell>
          <cell r="O109">
            <v>572</v>
          </cell>
        </row>
        <row r="110">
          <cell r="A110">
            <v>45666</v>
          </cell>
          <cell r="B110">
            <v>1164.19</v>
          </cell>
          <cell r="K110">
            <v>45653</v>
          </cell>
          <cell r="L110">
            <v>2577545.75</v>
          </cell>
          <cell r="N110">
            <v>45664</v>
          </cell>
          <cell r="O110">
            <v>561</v>
          </cell>
        </row>
        <row r="111">
          <cell r="A111">
            <v>45665</v>
          </cell>
          <cell r="B111">
            <v>1164.72</v>
          </cell>
          <cell r="K111">
            <v>45652</v>
          </cell>
          <cell r="L111">
            <v>2597388.5</v>
          </cell>
          <cell r="N111">
            <v>45663</v>
          </cell>
          <cell r="O111">
            <v>569</v>
          </cell>
        </row>
        <row r="112">
          <cell r="A112">
            <v>45664</v>
          </cell>
          <cell r="B112">
            <v>1164.3699999999999</v>
          </cell>
          <cell r="K112">
            <v>45650</v>
          </cell>
          <cell r="L112">
            <v>2551020.5</v>
          </cell>
          <cell r="N112">
            <v>45660</v>
          </cell>
          <cell r="O112">
            <v>610</v>
          </cell>
        </row>
        <row r="113">
          <cell r="A113">
            <v>45663</v>
          </cell>
          <cell r="B113">
            <v>1165.0899999999999</v>
          </cell>
          <cell r="K113">
            <v>45649</v>
          </cell>
          <cell r="L113">
            <v>2501153</v>
          </cell>
          <cell r="N113">
            <v>45659</v>
          </cell>
          <cell r="O113">
            <v>610</v>
          </cell>
        </row>
        <row r="114">
          <cell r="A114">
            <v>45660</v>
          </cell>
          <cell r="B114">
            <v>1165.8800000000001</v>
          </cell>
          <cell r="K114">
            <v>45646</v>
          </cell>
          <cell r="L114">
            <v>2467562</v>
          </cell>
          <cell r="N114">
            <v>45658</v>
          </cell>
          <cell r="O114">
            <v>635</v>
          </cell>
        </row>
        <row r="115">
          <cell r="A115">
            <v>45659</v>
          </cell>
          <cell r="B115">
            <v>1162.1199999999999</v>
          </cell>
          <cell r="K115">
            <v>45645</v>
          </cell>
          <cell r="L115">
            <v>2419894.25</v>
          </cell>
          <cell r="N115">
            <v>45657</v>
          </cell>
          <cell r="O115">
            <v>635</v>
          </cell>
        </row>
        <row r="116">
          <cell r="A116">
            <v>45658</v>
          </cell>
          <cell r="B116">
            <v>1170.4100000000001</v>
          </cell>
          <cell r="K116">
            <v>45644</v>
          </cell>
          <cell r="L116">
            <v>2521016.5</v>
          </cell>
          <cell r="N116">
            <v>45656</v>
          </cell>
          <cell r="O116">
            <v>635</v>
          </cell>
        </row>
        <row r="117">
          <cell r="A117">
            <v>45657</v>
          </cell>
          <cell r="B117">
            <v>1170.4100000000001</v>
          </cell>
          <cell r="K117">
            <v>45643</v>
          </cell>
          <cell r="L117">
            <v>2592200.5</v>
          </cell>
          <cell r="N117">
            <v>45653</v>
          </cell>
          <cell r="O117">
            <v>627</v>
          </cell>
        </row>
        <row r="118">
          <cell r="A118">
            <v>45656</v>
          </cell>
          <cell r="B118">
            <v>1170.4100000000001</v>
          </cell>
          <cell r="K118">
            <v>45642</v>
          </cell>
          <cell r="L118">
            <v>2543202</v>
          </cell>
          <cell r="N118">
            <v>45652</v>
          </cell>
          <cell r="O118">
            <v>631</v>
          </cell>
        </row>
        <row r="119">
          <cell r="A119">
            <v>45653</v>
          </cell>
          <cell r="B119">
            <v>1170.56</v>
          </cell>
          <cell r="K119">
            <v>45639</v>
          </cell>
          <cell r="L119">
            <v>2370661.75</v>
          </cell>
          <cell r="N119">
            <v>45651</v>
          </cell>
          <cell r="O119">
            <v>650</v>
          </cell>
        </row>
        <row r="120">
          <cell r="A120">
            <v>45652</v>
          </cell>
          <cell r="B120">
            <v>1170.8900000000001</v>
          </cell>
          <cell r="K120">
            <v>45638</v>
          </cell>
          <cell r="L120">
            <v>2304089.5</v>
          </cell>
          <cell r="N120">
            <v>45650</v>
          </cell>
          <cell r="O120">
            <v>649</v>
          </cell>
        </row>
        <row r="121">
          <cell r="A121">
            <v>45651</v>
          </cell>
          <cell r="B121">
            <v>1160.97</v>
          </cell>
          <cell r="K121">
            <v>45637</v>
          </cell>
          <cell r="L121">
            <v>2291149.25</v>
          </cell>
          <cell r="N121">
            <v>45649</v>
          </cell>
          <cell r="O121">
            <v>649</v>
          </cell>
        </row>
        <row r="122">
          <cell r="A122">
            <v>45650</v>
          </cell>
          <cell r="B122">
            <v>1160.97</v>
          </cell>
          <cell r="K122">
            <v>45636</v>
          </cell>
          <cell r="L122">
            <v>2201245.75</v>
          </cell>
          <cell r="N122">
            <v>45646</v>
          </cell>
          <cell r="O122">
            <v>671</v>
          </cell>
        </row>
        <row r="123">
          <cell r="A123">
            <v>45649</v>
          </cell>
          <cell r="B123">
            <v>1162.3</v>
          </cell>
          <cell r="K123">
            <v>45635</v>
          </cell>
          <cell r="L123">
            <v>2228858.75</v>
          </cell>
          <cell r="N123">
            <v>45645</v>
          </cell>
          <cell r="O123">
            <v>663</v>
          </cell>
        </row>
        <row r="124">
          <cell r="A124">
            <v>45646</v>
          </cell>
          <cell r="B124">
            <v>1142.2</v>
          </cell>
          <cell r="K124">
            <v>45632</v>
          </cell>
          <cell r="L124">
            <v>2202444.25</v>
          </cell>
          <cell r="N124">
            <v>45644</v>
          </cell>
          <cell r="O124">
            <v>658</v>
          </cell>
        </row>
        <row r="125">
          <cell r="A125">
            <v>45645</v>
          </cell>
          <cell r="B125">
            <v>1131.19</v>
          </cell>
          <cell r="K125">
            <v>45631</v>
          </cell>
          <cell r="L125">
            <v>2211583</v>
          </cell>
          <cell r="N125">
            <v>45643</v>
          </cell>
          <cell r="O125">
            <v>673</v>
          </cell>
        </row>
        <row r="126">
          <cell r="A126">
            <v>45644</v>
          </cell>
          <cell r="B126">
            <v>1131.22</v>
          </cell>
          <cell r="K126">
            <v>45630</v>
          </cell>
          <cell r="L126">
            <v>2216277.75</v>
          </cell>
          <cell r="N126">
            <v>45642</v>
          </cell>
          <cell r="O126">
            <v>677</v>
          </cell>
        </row>
        <row r="127">
          <cell r="A127">
            <v>45643</v>
          </cell>
          <cell r="B127">
            <v>1145.26</v>
          </cell>
          <cell r="K127">
            <v>45629</v>
          </cell>
          <cell r="L127">
            <v>2303990</v>
          </cell>
          <cell r="N127">
            <v>45639</v>
          </cell>
          <cell r="O127">
            <v>708</v>
          </cell>
        </row>
        <row r="128">
          <cell r="A128">
            <v>45642</v>
          </cell>
          <cell r="B128">
            <v>1100.27</v>
          </cell>
          <cell r="K128">
            <v>45628</v>
          </cell>
          <cell r="L128">
            <v>2295431.5</v>
          </cell>
          <cell r="N128">
            <v>45638</v>
          </cell>
          <cell r="O128">
            <v>715</v>
          </cell>
        </row>
        <row r="129">
          <cell r="A129">
            <v>45639</v>
          </cell>
          <cell r="B129">
            <v>1073.08</v>
          </cell>
          <cell r="K129">
            <v>45625</v>
          </cell>
          <cell r="L129">
            <v>2258295</v>
          </cell>
          <cell r="N129">
            <v>45637</v>
          </cell>
          <cell r="O129">
            <v>719</v>
          </cell>
        </row>
        <row r="130">
          <cell r="A130">
            <v>45638</v>
          </cell>
          <cell r="B130">
            <v>1058.21</v>
          </cell>
          <cell r="K130">
            <v>45624</v>
          </cell>
          <cell r="L130">
            <v>2230803.25</v>
          </cell>
          <cell r="N130">
            <v>45636</v>
          </cell>
          <cell r="O130">
            <v>735</v>
          </cell>
        </row>
        <row r="131">
          <cell r="A131">
            <v>45637</v>
          </cell>
          <cell r="B131">
            <v>1057.72</v>
          </cell>
          <cell r="K131">
            <v>45623</v>
          </cell>
          <cell r="L131">
            <v>2205245</v>
          </cell>
          <cell r="N131">
            <v>45635</v>
          </cell>
          <cell r="O131">
            <v>737</v>
          </cell>
        </row>
        <row r="132">
          <cell r="A132">
            <v>45636</v>
          </cell>
          <cell r="B132">
            <v>1060.52</v>
          </cell>
          <cell r="K132">
            <v>45622</v>
          </cell>
          <cell r="L132">
            <v>2252266.25</v>
          </cell>
          <cell r="N132">
            <v>45632</v>
          </cell>
          <cell r="O132">
            <v>769</v>
          </cell>
        </row>
        <row r="133">
          <cell r="A133">
            <v>45635</v>
          </cell>
          <cell r="B133">
            <v>1049.31</v>
          </cell>
          <cell r="K133">
            <v>45621</v>
          </cell>
          <cell r="L133">
            <v>2218551</v>
          </cell>
          <cell r="N133">
            <v>45631</v>
          </cell>
          <cell r="O133">
            <v>760</v>
          </cell>
        </row>
        <row r="134">
          <cell r="A134">
            <v>45632</v>
          </cell>
          <cell r="B134">
            <v>1049.33</v>
          </cell>
          <cell r="K134">
            <v>45618</v>
          </cell>
          <cell r="L134">
            <v>2211988</v>
          </cell>
          <cell r="N134">
            <v>45630</v>
          </cell>
          <cell r="O134">
            <v>751</v>
          </cell>
        </row>
        <row r="135">
          <cell r="A135">
            <v>45631</v>
          </cell>
          <cell r="B135">
            <v>1062.1600000000001</v>
          </cell>
          <cell r="K135">
            <v>45617</v>
          </cell>
          <cell r="L135">
            <v>2140096.25</v>
          </cell>
          <cell r="N135">
            <v>45629</v>
          </cell>
          <cell r="O135">
            <v>754</v>
          </cell>
        </row>
        <row r="136">
          <cell r="A136">
            <v>45630</v>
          </cell>
          <cell r="B136">
            <v>1076.3399999999999</v>
          </cell>
          <cell r="K136">
            <v>45616</v>
          </cell>
          <cell r="L136">
            <v>2145971.75</v>
          </cell>
          <cell r="N136">
            <v>45628</v>
          </cell>
          <cell r="O136">
            <v>749</v>
          </cell>
        </row>
        <row r="137">
          <cell r="A137">
            <v>45629</v>
          </cell>
          <cell r="B137">
            <v>1075.6500000000001</v>
          </cell>
          <cell r="K137">
            <v>45615</v>
          </cell>
          <cell r="L137">
            <v>2124412.5</v>
          </cell>
          <cell r="N137">
            <v>45625</v>
          </cell>
          <cell r="O137">
            <v>752</v>
          </cell>
        </row>
        <row r="138">
          <cell r="A138">
            <v>45628</v>
          </cell>
          <cell r="B138">
            <v>1068.8900000000001</v>
          </cell>
          <cell r="K138">
            <v>45611</v>
          </cell>
          <cell r="L138">
            <v>2066915.25</v>
          </cell>
          <cell r="N138">
            <v>45624</v>
          </cell>
          <cell r="O138">
            <v>752</v>
          </cell>
        </row>
        <row r="139">
          <cell r="A139">
            <v>45625</v>
          </cell>
          <cell r="B139">
            <v>1075.76</v>
          </cell>
          <cell r="K139">
            <v>45610</v>
          </cell>
          <cell r="L139">
            <v>2087646.63</v>
          </cell>
          <cell r="N139">
            <v>45623</v>
          </cell>
          <cell r="O139">
            <v>755</v>
          </cell>
        </row>
        <row r="140">
          <cell r="A140">
            <v>45624</v>
          </cell>
          <cell r="B140">
            <v>1075.1500000000001</v>
          </cell>
          <cell r="K140">
            <v>45609</v>
          </cell>
          <cell r="L140">
            <v>2042551</v>
          </cell>
          <cell r="N140">
            <v>45622</v>
          </cell>
          <cell r="O140">
            <v>751</v>
          </cell>
        </row>
        <row r="141">
          <cell r="A141">
            <v>45623</v>
          </cell>
          <cell r="B141">
            <v>1074.6099999999999</v>
          </cell>
          <cell r="K141">
            <v>45608</v>
          </cell>
          <cell r="L141">
            <v>2012040.88</v>
          </cell>
          <cell r="N141">
            <v>45621</v>
          </cell>
          <cell r="O141">
            <v>748</v>
          </cell>
        </row>
        <row r="142">
          <cell r="A142">
            <v>45622</v>
          </cell>
          <cell r="B142">
            <v>1076.1199999999999</v>
          </cell>
          <cell r="K142">
            <v>45607</v>
          </cell>
          <cell r="L142">
            <v>1987845.88</v>
          </cell>
          <cell r="N142">
            <v>45618</v>
          </cell>
          <cell r="O142">
            <v>745</v>
          </cell>
        </row>
        <row r="143">
          <cell r="A143">
            <v>45621</v>
          </cell>
          <cell r="B143">
            <v>1077.58</v>
          </cell>
          <cell r="K143">
            <v>45604</v>
          </cell>
          <cell r="L143">
            <v>1964487.25</v>
          </cell>
          <cell r="N143">
            <v>45617</v>
          </cell>
          <cell r="O143">
            <v>734</v>
          </cell>
        </row>
        <row r="144">
          <cell r="A144">
            <v>45618</v>
          </cell>
          <cell r="B144">
            <v>1080.4000000000001</v>
          </cell>
          <cell r="K144">
            <v>45603</v>
          </cell>
          <cell r="L144">
            <v>2015557.75</v>
          </cell>
          <cell r="N144">
            <v>45616</v>
          </cell>
          <cell r="O144">
            <v>720</v>
          </cell>
        </row>
        <row r="145">
          <cell r="A145">
            <v>45617</v>
          </cell>
          <cell r="B145">
            <v>1078.95</v>
          </cell>
          <cell r="K145">
            <v>45602</v>
          </cell>
          <cell r="L145">
            <v>1976613</v>
          </cell>
          <cell r="N145">
            <v>45615</v>
          </cell>
          <cell r="O145">
            <v>746</v>
          </cell>
        </row>
        <row r="146">
          <cell r="A146">
            <v>45616</v>
          </cell>
          <cell r="B146">
            <v>1074.8599999999999</v>
          </cell>
          <cell r="K146">
            <v>45601</v>
          </cell>
          <cell r="L146">
            <v>1931281.13</v>
          </cell>
          <cell r="N146">
            <v>45614</v>
          </cell>
          <cell r="O146">
            <v>769</v>
          </cell>
        </row>
        <row r="147">
          <cell r="A147">
            <v>45615</v>
          </cell>
          <cell r="B147">
            <v>1075.1199999999999</v>
          </cell>
          <cell r="K147">
            <v>45600</v>
          </cell>
          <cell r="L147">
            <v>1919066</v>
          </cell>
          <cell r="N147">
            <v>45611</v>
          </cell>
          <cell r="O147">
            <v>769</v>
          </cell>
        </row>
        <row r="148">
          <cell r="A148">
            <v>45614</v>
          </cell>
          <cell r="B148">
            <v>1096.02</v>
          </cell>
          <cell r="K148">
            <v>45597</v>
          </cell>
          <cell r="L148">
            <v>1879878.63</v>
          </cell>
          <cell r="N148">
            <v>45610</v>
          </cell>
          <cell r="O148">
            <v>772</v>
          </cell>
        </row>
        <row r="149">
          <cell r="A149">
            <v>45611</v>
          </cell>
          <cell r="B149">
            <v>1096.02</v>
          </cell>
          <cell r="K149">
            <v>45596</v>
          </cell>
          <cell r="L149">
            <v>1848744.25</v>
          </cell>
          <cell r="N149">
            <v>45609</v>
          </cell>
          <cell r="O149">
            <v>800</v>
          </cell>
        </row>
        <row r="150">
          <cell r="A150">
            <v>45610</v>
          </cell>
          <cell r="B150">
            <v>1105.75</v>
          </cell>
          <cell r="K150">
            <v>45595</v>
          </cell>
          <cell r="L150">
            <v>1837535.25</v>
          </cell>
          <cell r="N150">
            <v>45608</v>
          </cell>
          <cell r="O150">
            <v>819</v>
          </cell>
        </row>
        <row r="151">
          <cell r="A151">
            <v>45609</v>
          </cell>
          <cell r="B151">
            <v>1121.1099999999999</v>
          </cell>
          <cell r="K151">
            <v>45594</v>
          </cell>
          <cell r="L151">
            <v>1845639.25</v>
          </cell>
          <cell r="N151">
            <v>45607</v>
          </cell>
          <cell r="O151">
            <v>850</v>
          </cell>
        </row>
        <row r="152">
          <cell r="A152">
            <v>45608</v>
          </cell>
          <cell r="B152">
            <v>1124.4000000000001</v>
          </cell>
          <cell r="K152">
            <v>45593</v>
          </cell>
          <cell r="L152">
            <v>1851913.75</v>
          </cell>
          <cell r="N152">
            <v>45604</v>
          </cell>
          <cell r="O152">
            <v>850</v>
          </cell>
        </row>
        <row r="153">
          <cell r="A153">
            <v>45607</v>
          </cell>
          <cell r="B153">
            <v>1131.23</v>
          </cell>
          <cell r="K153">
            <v>45590</v>
          </cell>
          <cell r="L153">
            <v>1872784.63</v>
          </cell>
          <cell r="N153">
            <v>45603</v>
          </cell>
          <cell r="O153">
            <v>859</v>
          </cell>
        </row>
        <row r="154">
          <cell r="A154">
            <v>45604</v>
          </cell>
          <cell r="B154">
            <v>1130.2</v>
          </cell>
          <cell r="K154">
            <v>45589</v>
          </cell>
          <cell r="L154">
            <v>1849994.75</v>
          </cell>
          <cell r="N154">
            <v>45602</v>
          </cell>
          <cell r="O154">
            <v>870</v>
          </cell>
        </row>
        <row r="155">
          <cell r="A155">
            <v>45603</v>
          </cell>
          <cell r="B155">
            <v>1135.99</v>
          </cell>
          <cell r="K155">
            <v>45588</v>
          </cell>
          <cell r="L155">
            <v>1774318.63</v>
          </cell>
          <cell r="N155">
            <v>45601</v>
          </cell>
          <cell r="O155">
            <v>933</v>
          </cell>
        </row>
        <row r="156">
          <cell r="A156">
            <v>45602</v>
          </cell>
          <cell r="B156">
            <v>1145.69</v>
          </cell>
          <cell r="K156">
            <v>45587</v>
          </cell>
          <cell r="L156">
            <v>1807539.25</v>
          </cell>
          <cell r="N156">
            <v>45600</v>
          </cell>
          <cell r="O156">
            <v>955</v>
          </cell>
        </row>
        <row r="157">
          <cell r="A157">
            <v>45601</v>
          </cell>
          <cell r="B157">
            <v>1153.5</v>
          </cell>
          <cell r="K157">
            <v>45586</v>
          </cell>
          <cell r="L157">
            <v>1820705.38</v>
          </cell>
          <cell r="N157">
            <v>45597</v>
          </cell>
          <cell r="O157">
            <v>955</v>
          </cell>
        </row>
        <row r="158">
          <cell r="A158">
            <v>45600</v>
          </cell>
          <cell r="B158">
            <v>1151.54</v>
          </cell>
          <cell r="K158">
            <v>45583</v>
          </cell>
          <cell r="L158">
            <v>1823329.75</v>
          </cell>
          <cell r="N158">
            <v>45596</v>
          </cell>
          <cell r="O158">
            <v>984</v>
          </cell>
        </row>
        <row r="159">
          <cell r="A159">
            <v>45597</v>
          </cell>
          <cell r="B159">
            <v>1146.17</v>
          </cell>
          <cell r="K159">
            <v>45582</v>
          </cell>
          <cell r="L159">
            <v>1801603.88</v>
          </cell>
          <cell r="N159">
            <v>45595</v>
          </cell>
          <cell r="O159">
            <v>956</v>
          </cell>
        </row>
        <row r="160">
          <cell r="A160">
            <v>45596</v>
          </cell>
          <cell r="B160">
            <v>1131.46</v>
          </cell>
          <cell r="K160">
            <v>45581</v>
          </cell>
          <cell r="L160">
            <v>1776060.5</v>
          </cell>
          <cell r="N160">
            <v>45594</v>
          </cell>
          <cell r="O160">
            <v>933</v>
          </cell>
        </row>
        <row r="161">
          <cell r="A161">
            <v>45595</v>
          </cell>
          <cell r="B161">
            <v>1138.32</v>
          </cell>
          <cell r="K161">
            <v>45580</v>
          </cell>
          <cell r="L161">
            <v>1816250.5</v>
          </cell>
          <cell r="N161">
            <v>45593</v>
          </cell>
          <cell r="O161">
            <v>914</v>
          </cell>
        </row>
        <row r="162">
          <cell r="A162">
            <v>45594</v>
          </cell>
          <cell r="B162">
            <v>1138.18</v>
          </cell>
          <cell r="K162">
            <v>45579</v>
          </cell>
          <cell r="L162">
            <v>1804414.63</v>
          </cell>
          <cell r="N162">
            <v>45590</v>
          </cell>
          <cell r="O162">
            <v>967</v>
          </cell>
        </row>
        <row r="163">
          <cell r="A163">
            <v>45593</v>
          </cell>
          <cell r="B163">
            <v>1134.18</v>
          </cell>
          <cell r="K163">
            <v>45575</v>
          </cell>
          <cell r="L163">
            <v>1782989.13</v>
          </cell>
          <cell r="N163">
            <v>45589</v>
          </cell>
          <cell r="O163">
            <v>1036</v>
          </cell>
        </row>
        <row r="164">
          <cell r="A164">
            <v>45590</v>
          </cell>
          <cell r="B164">
            <v>1141.81</v>
          </cell>
          <cell r="K164">
            <v>45574</v>
          </cell>
          <cell r="L164">
            <v>1771932.75</v>
          </cell>
          <cell r="N164">
            <v>45588</v>
          </cell>
          <cell r="O164">
            <v>1103</v>
          </cell>
        </row>
        <row r="165">
          <cell r="A165">
            <v>45589</v>
          </cell>
          <cell r="B165">
            <v>1160</v>
          </cell>
          <cell r="K165">
            <v>45573</v>
          </cell>
          <cell r="L165">
            <v>1731369.63</v>
          </cell>
          <cell r="N165">
            <v>45587</v>
          </cell>
          <cell r="O165">
            <v>1099</v>
          </cell>
        </row>
        <row r="166">
          <cell r="A166">
            <v>45588</v>
          </cell>
          <cell r="B166">
            <v>1161.99</v>
          </cell>
          <cell r="K166">
            <v>45572</v>
          </cell>
          <cell r="L166">
            <v>1714593.63</v>
          </cell>
          <cell r="N166">
            <v>45586</v>
          </cell>
          <cell r="O166">
            <v>1100</v>
          </cell>
        </row>
        <row r="167">
          <cell r="A167">
            <v>45587</v>
          </cell>
          <cell r="B167">
            <v>1161.97</v>
          </cell>
          <cell r="K167">
            <v>45569</v>
          </cell>
          <cell r="L167">
            <v>1756514.5</v>
          </cell>
          <cell r="N167">
            <v>45583</v>
          </cell>
          <cell r="O167">
            <v>1097</v>
          </cell>
        </row>
        <row r="168">
          <cell r="A168">
            <v>45586</v>
          </cell>
          <cell r="B168">
            <v>1167.9100000000001</v>
          </cell>
          <cell r="K168">
            <v>45568</v>
          </cell>
          <cell r="L168">
            <v>1754992.38</v>
          </cell>
          <cell r="N168">
            <v>45582</v>
          </cell>
          <cell r="O168">
            <v>1099</v>
          </cell>
        </row>
        <row r="169">
          <cell r="A169">
            <v>45583</v>
          </cell>
          <cell r="B169">
            <v>1159.05</v>
          </cell>
          <cell r="K169">
            <v>45567</v>
          </cell>
          <cell r="L169">
            <v>1715159</v>
          </cell>
          <cell r="N169">
            <v>45581</v>
          </cell>
          <cell r="O169">
            <v>1052</v>
          </cell>
        </row>
        <row r="170">
          <cell r="A170">
            <v>45582</v>
          </cell>
          <cell r="B170">
            <v>1159.5999999999999</v>
          </cell>
          <cell r="K170">
            <v>45566</v>
          </cell>
          <cell r="L170">
            <v>1728761.13</v>
          </cell>
          <cell r="N170">
            <v>45580</v>
          </cell>
          <cell r="O170">
            <v>1044</v>
          </cell>
        </row>
        <row r="171">
          <cell r="A171">
            <v>45581</v>
          </cell>
          <cell r="B171">
            <v>1159.8900000000001</v>
          </cell>
          <cell r="K171">
            <v>45565</v>
          </cell>
          <cell r="L171">
            <v>1697400.63</v>
          </cell>
          <cell r="N171">
            <v>45579</v>
          </cell>
          <cell r="O171">
            <v>1106</v>
          </cell>
        </row>
        <row r="172">
          <cell r="A172">
            <v>45580</v>
          </cell>
          <cell r="B172">
            <v>1139.9100000000001</v>
          </cell>
          <cell r="K172">
            <v>45562</v>
          </cell>
          <cell r="L172">
            <v>1727776.5</v>
          </cell>
          <cell r="N172">
            <v>45576</v>
          </cell>
          <cell r="O172">
            <v>1106</v>
          </cell>
        </row>
        <row r="173">
          <cell r="A173">
            <v>45579</v>
          </cell>
          <cell r="B173">
            <v>1143.8800000000001</v>
          </cell>
          <cell r="K173">
            <v>45561</v>
          </cell>
          <cell r="L173">
            <v>1715670.63</v>
          </cell>
          <cell r="N173">
            <v>45575</v>
          </cell>
          <cell r="O173">
            <v>1126</v>
          </cell>
        </row>
        <row r="174">
          <cell r="A174">
            <v>45576</v>
          </cell>
          <cell r="B174">
            <v>1134.8399999999999</v>
          </cell>
          <cell r="K174">
            <v>45560</v>
          </cell>
          <cell r="L174">
            <v>1744131.25</v>
          </cell>
          <cell r="N174">
            <v>45574</v>
          </cell>
          <cell r="O174">
            <v>1121</v>
          </cell>
        </row>
        <row r="175">
          <cell r="A175">
            <v>45575</v>
          </cell>
          <cell r="B175">
            <v>1134.8399999999999</v>
          </cell>
          <cell r="K175">
            <v>45559</v>
          </cell>
          <cell r="L175">
            <v>1774667.88</v>
          </cell>
          <cell r="N175">
            <v>45573</v>
          </cell>
          <cell r="O175">
            <v>1188</v>
          </cell>
        </row>
        <row r="176">
          <cell r="A176">
            <v>45574</v>
          </cell>
          <cell r="B176">
            <v>1147.4000000000001</v>
          </cell>
          <cell r="K176">
            <v>45558</v>
          </cell>
          <cell r="L176">
            <v>1790228.13</v>
          </cell>
          <cell r="N176">
            <v>45572</v>
          </cell>
          <cell r="O176">
            <v>1207</v>
          </cell>
        </row>
        <row r="177">
          <cell r="A177">
            <v>45573</v>
          </cell>
          <cell r="B177">
            <v>1169.54</v>
          </cell>
          <cell r="K177">
            <v>45555</v>
          </cell>
          <cell r="L177">
            <v>1822928.25</v>
          </cell>
          <cell r="N177">
            <v>45569</v>
          </cell>
          <cell r="O177">
            <v>1258</v>
          </cell>
        </row>
        <row r="178">
          <cell r="A178">
            <v>45572</v>
          </cell>
          <cell r="B178">
            <v>1184.07</v>
          </cell>
          <cell r="K178">
            <v>45554</v>
          </cell>
          <cell r="L178">
            <v>1847053.13</v>
          </cell>
          <cell r="N178">
            <v>45568</v>
          </cell>
          <cell r="O178">
            <v>1265</v>
          </cell>
        </row>
        <row r="179">
          <cell r="A179">
            <v>45569</v>
          </cell>
          <cell r="B179">
            <v>1187.52</v>
          </cell>
          <cell r="K179">
            <v>45553</v>
          </cell>
          <cell r="L179">
            <v>1815098.88</v>
          </cell>
          <cell r="N179">
            <v>45567</v>
          </cell>
          <cell r="O179">
            <v>1276</v>
          </cell>
        </row>
        <row r="180">
          <cell r="A180">
            <v>45568</v>
          </cell>
          <cell r="B180">
            <v>1191.74</v>
          </cell>
          <cell r="K180">
            <v>45552</v>
          </cell>
          <cell r="L180">
            <v>1813298</v>
          </cell>
          <cell r="N180">
            <v>45566</v>
          </cell>
          <cell r="O180">
            <v>1288</v>
          </cell>
        </row>
        <row r="181">
          <cell r="A181">
            <v>45567</v>
          </cell>
          <cell r="B181">
            <v>1207.51</v>
          </cell>
          <cell r="K181">
            <v>45551</v>
          </cell>
          <cell r="L181">
            <v>1812872.38</v>
          </cell>
          <cell r="N181">
            <v>45565</v>
          </cell>
          <cell r="O181">
            <v>1290</v>
          </cell>
        </row>
        <row r="182">
          <cell r="A182">
            <v>45566</v>
          </cell>
          <cell r="B182">
            <v>1220.07</v>
          </cell>
          <cell r="K182">
            <v>45548</v>
          </cell>
          <cell r="L182">
            <v>1817734</v>
          </cell>
          <cell r="N182">
            <v>45562</v>
          </cell>
          <cell r="O182">
            <v>1311</v>
          </cell>
        </row>
        <row r="183">
          <cell r="A183">
            <v>45565</v>
          </cell>
          <cell r="B183">
            <v>1215.03</v>
          </cell>
          <cell r="K183">
            <v>45547</v>
          </cell>
          <cell r="L183">
            <v>1790058.13</v>
          </cell>
          <cell r="N183">
            <v>45561</v>
          </cell>
          <cell r="O183">
            <v>1302</v>
          </cell>
        </row>
        <row r="184">
          <cell r="A184">
            <v>45562</v>
          </cell>
          <cell r="B184">
            <v>1207.75</v>
          </cell>
          <cell r="K184">
            <v>45546</v>
          </cell>
          <cell r="L184">
            <v>1764128.5</v>
          </cell>
          <cell r="N184">
            <v>45560</v>
          </cell>
          <cell r="O184">
            <v>1304</v>
          </cell>
        </row>
        <row r="185">
          <cell r="A185">
            <v>45561</v>
          </cell>
          <cell r="B185">
            <v>1210.95</v>
          </cell>
          <cell r="K185">
            <v>45545</v>
          </cell>
          <cell r="L185">
            <v>1715184.88</v>
          </cell>
          <cell r="N185">
            <v>45559</v>
          </cell>
          <cell r="O185">
            <v>1303</v>
          </cell>
        </row>
        <row r="186">
          <cell r="A186">
            <v>45560</v>
          </cell>
          <cell r="B186">
            <v>1209.79</v>
          </cell>
          <cell r="K186">
            <v>45544</v>
          </cell>
          <cell r="L186">
            <v>1738555.75</v>
          </cell>
          <cell r="N186">
            <v>45558</v>
          </cell>
          <cell r="O186">
            <v>1308</v>
          </cell>
        </row>
        <row r="187">
          <cell r="A187">
            <v>45559</v>
          </cell>
          <cell r="B187">
            <v>1202.1300000000001</v>
          </cell>
          <cell r="K187">
            <v>45541</v>
          </cell>
          <cell r="L187">
            <v>1721668</v>
          </cell>
          <cell r="N187">
            <v>45555</v>
          </cell>
          <cell r="O187">
            <v>1319</v>
          </cell>
        </row>
        <row r="188">
          <cell r="A188">
            <v>45558</v>
          </cell>
          <cell r="B188">
            <v>1204.57</v>
          </cell>
          <cell r="K188">
            <v>45540</v>
          </cell>
          <cell r="L188">
            <v>1765465</v>
          </cell>
          <cell r="N188">
            <v>45554</v>
          </cell>
          <cell r="O188">
            <v>1301</v>
          </cell>
        </row>
        <row r="189">
          <cell r="A189">
            <v>45555</v>
          </cell>
          <cell r="B189">
            <v>1200.0999999999999</v>
          </cell>
          <cell r="K189">
            <v>45539</v>
          </cell>
          <cell r="L189">
            <v>1796920.13</v>
          </cell>
          <cell r="N189">
            <v>45553</v>
          </cell>
          <cell r="O189">
            <v>1363</v>
          </cell>
        </row>
        <row r="190">
          <cell r="A190">
            <v>45554</v>
          </cell>
          <cell r="B190">
            <v>1197.74</v>
          </cell>
          <cell r="K190">
            <v>45538</v>
          </cell>
          <cell r="L190">
            <v>1735253</v>
          </cell>
          <cell r="N190">
            <v>45552</v>
          </cell>
          <cell r="O190">
            <v>1370</v>
          </cell>
        </row>
        <row r="191">
          <cell r="A191">
            <v>45553</v>
          </cell>
          <cell r="B191">
            <v>1206.72</v>
          </cell>
          <cell r="K191">
            <v>45537</v>
          </cell>
          <cell r="L191">
            <v>1754832.88</v>
          </cell>
          <cell r="N191">
            <v>45551</v>
          </cell>
          <cell r="O191">
            <v>1365</v>
          </cell>
        </row>
        <row r="192">
          <cell r="A192">
            <v>45552</v>
          </cell>
          <cell r="B192">
            <v>1214.04</v>
          </cell>
          <cell r="K192">
            <v>45534</v>
          </cell>
          <cell r="L192">
            <v>1717564.5</v>
          </cell>
          <cell r="N192">
            <v>45548</v>
          </cell>
          <cell r="O192">
            <v>1400</v>
          </cell>
        </row>
        <row r="193">
          <cell r="A193">
            <v>45551</v>
          </cell>
          <cell r="B193">
            <v>1215.72</v>
          </cell>
          <cell r="K193">
            <v>45533</v>
          </cell>
          <cell r="L193">
            <v>1660144</v>
          </cell>
          <cell r="N193">
            <v>45547</v>
          </cell>
          <cell r="O193">
            <v>1422</v>
          </cell>
        </row>
        <row r="194">
          <cell r="A194">
            <v>45548</v>
          </cell>
          <cell r="B194">
            <v>1226.53</v>
          </cell>
          <cell r="K194">
            <v>45532</v>
          </cell>
          <cell r="L194">
            <v>1617544.38</v>
          </cell>
          <cell r="N194">
            <v>45546</v>
          </cell>
          <cell r="O194">
            <v>1445</v>
          </cell>
        </row>
        <row r="195">
          <cell r="A195">
            <v>45547</v>
          </cell>
          <cell r="B195">
            <v>1239.48</v>
          </cell>
          <cell r="K195">
            <v>45531</v>
          </cell>
          <cell r="L195">
            <v>1616134.13</v>
          </cell>
          <cell r="N195">
            <v>45545</v>
          </cell>
          <cell r="O195">
            <v>1445</v>
          </cell>
        </row>
        <row r="196">
          <cell r="A196">
            <v>45546</v>
          </cell>
          <cell r="B196">
            <v>1230.1600000000001</v>
          </cell>
          <cell r="K196">
            <v>45530</v>
          </cell>
          <cell r="L196">
            <v>1593002.5</v>
          </cell>
          <cell r="N196">
            <v>45544</v>
          </cell>
          <cell r="O196">
            <v>1442</v>
          </cell>
        </row>
        <row r="197">
          <cell r="A197">
            <v>45545</v>
          </cell>
          <cell r="B197">
            <v>1230.44</v>
          </cell>
          <cell r="K197">
            <v>45527</v>
          </cell>
          <cell r="L197">
            <v>1606967.38</v>
          </cell>
          <cell r="N197">
            <v>45541</v>
          </cell>
          <cell r="O197">
            <v>1483</v>
          </cell>
        </row>
        <row r="198">
          <cell r="A198">
            <v>45544</v>
          </cell>
          <cell r="B198">
            <v>1226.42</v>
          </cell>
          <cell r="K198">
            <v>45526</v>
          </cell>
          <cell r="L198">
            <v>1577419.88</v>
          </cell>
          <cell r="N198">
            <v>45540</v>
          </cell>
          <cell r="O198">
            <v>1452</v>
          </cell>
        </row>
        <row r="199">
          <cell r="A199">
            <v>45541</v>
          </cell>
          <cell r="B199">
            <v>1243.8699999999999</v>
          </cell>
          <cell r="K199">
            <v>45525</v>
          </cell>
          <cell r="L199">
            <v>1621075.63</v>
          </cell>
          <cell r="N199">
            <v>45539</v>
          </cell>
          <cell r="O199">
            <v>1465</v>
          </cell>
        </row>
        <row r="200">
          <cell r="A200">
            <v>45540</v>
          </cell>
          <cell r="B200">
            <v>1258.82</v>
          </cell>
          <cell r="K200">
            <v>45524</v>
          </cell>
          <cell r="L200">
            <v>1659274.75</v>
          </cell>
          <cell r="N200">
            <v>45538</v>
          </cell>
          <cell r="O200">
            <v>1467</v>
          </cell>
        </row>
        <row r="201">
          <cell r="A201">
            <v>45539</v>
          </cell>
          <cell r="B201">
            <v>1279.8399999999999</v>
          </cell>
          <cell r="K201">
            <v>45523</v>
          </cell>
          <cell r="L201">
            <v>1657074.63</v>
          </cell>
          <cell r="N201">
            <v>45537</v>
          </cell>
          <cell r="O201">
            <v>1433</v>
          </cell>
        </row>
        <row r="202">
          <cell r="A202">
            <v>45538</v>
          </cell>
          <cell r="B202">
            <v>1294.46</v>
          </cell>
          <cell r="K202">
            <v>45520</v>
          </cell>
          <cell r="L202">
            <v>1649329.38</v>
          </cell>
          <cell r="N202">
            <v>45534</v>
          </cell>
          <cell r="O202">
            <v>1433</v>
          </cell>
        </row>
        <row r="203">
          <cell r="A203">
            <v>45537</v>
          </cell>
          <cell r="B203">
            <v>1285.01</v>
          </cell>
          <cell r="K203">
            <v>45519</v>
          </cell>
          <cell r="L203">
            <v>1643875</v>
          </cell>
          <cell r="N203">
            <v>45533</v>
          </cell>
          <cell r="O203">
            <v>1444</v>
          </cell>
        </row>
        <row r="204">
          <cell r="A204">
            <v>45534</v>
          </cell>
          <cell r="B204">
            <v>1279.96</v>
          </cell>
          <cell r="K204">
            <v>45518</v>
          </cell>
          <cell r="L204">
            <v>1607310.13</v>
          </cell>
          <cell r="N204">
            <v>45532</v>
          </cell>
          <cell r="O204">
            <v>1484</v>
          </cell>
        </row>
        <row r="205">
          <cell r="A205">
            <v>45533</v>
          </cell>
          <cell r="B205">
            <v>1271.33</v>
          </cell>
          <cell r="K205">
            <v>45517</v>
          </cell>
          <cell r="L205">
            <v>1591696.88</v>
          </cell>
          <cell r="N205">
            <v>45531</v>
          </cell>
          <cell r="O205">
            <v>1510</v>
          </cell>
        </row>
        <row r="206">
          <cell r="A206">
            <v>45532</v>
          </cell>
          <cell r="B206">
            <v>1282.19</v>
          </cell>
          <cell r="K206">
            <v>45516</v>
          </cell>
          <cell r="L206">
            <v>1588905.13</v>
          </cell>
          <cell r="N206">
            <v>45530</v>
          </cell>
          <cell r="O206">
            <v>1516</v>
          </cell>
        </row>
        <row r="207">
          <cell r="A207">
            <v>45531</v>
          </cell>
          <cell r="B207">
            <v>1286.19</v>
          </cell>
          <cell r="K207">
            <v>45513</v>
          </cell>
          <cell r="L207">
            <v>1583894.88</v>
          </cell>
          <cell r="N207">
            <v>45527</v>
          </cell>
          <cell r="O207">
            <v>1516</v>
          </cell>
        </row>
        <row r="208">
          <cell r="A208">
            <v>45530</v>
          </cell>
          <cell r="B208">
            <v>1288.25</v>
          </cell>
          <cell r="K208">
            <v>45512</v>
          </cell>
          <cell r="L208">
            <v>1530365.75</v>
          </cell>
          <cell r="N208">
            <v>45526</v>
          </cell>
          <cell r="O208">
            <v>1560</v>
          </cell>
        </row>
        <row r="209">
          <cell r="A209">
            <v>45527</v>
          </cell>
          <cell r="B209">
            <v>1282.7</v>
          </cell>
          <cell r="K209">
            <v>45511</v>
          </cell>
          <cell r="L209">
            <v>1452160.75</v>
          </cell>
          <cell r="N209">
            <v>45525</v>
          </cell>
          <cell r="O209">
            <v>1525</v>
          </cell>
        </row>
        <row r="210">
          <cell r="A210">
            <v>45526</v>
          </cell>
          <cell r="B210">
            <v>1283.23</v>
          </cell>
          <cell r="K210">
            <v>45510</v>
          </cell>
          <cell r="L210">
            <v>1457571</v>
          </cell>
          <cell r="N210">
            <v>45524</v>
          </cell>
          <cell r="O210">
            <v>1493</v>
          </cell>
        </row>
        <row r="211">
          <cell r="A211">
            <v>45525</v>
          </cell>
          <cell r="B211">
            <v>1291.75</v>
          </cell>
          <cell r="K211">
            <v>45509</v>
          </cell>
          <cell r="L211">
            <v>1420523</v>
          </cell>
          <cell r="N211">
            <v>45523</v>
          </cell>
          <cell r="O211">
            <v>1471</v>
          </cell>
        </row>
        <row r="212">
          <cell r="A212">
            <v>45524</v>
          </cell>
          <cell r="B212">
            <v>1287.82</v>
          </cell>
          <cell r="K212">
            <v>45506</v>
          </cell>
          <cell r="L212">
            <v>1433349.88</v>
          </cell>
          <cell r="N212">
            <v>45520</v>
          </cell>
          <cell r="O212">
            <v>1471</v>
          </cell>
        </row>
        <row r="213">
          <cell r="A213">
            <v>45523</v>
          </cell>
          <cell r="B213">
            <v>1290.0999999999999</v>
          </cell>
          <cell r="K213">
            <v>45505</v>
          </cell>
          <cell r="L213">
            <v>1500216.5</v>
          </cell>
          <cell r="N213">
            <v>45519</v>
          </cell>
          <cell r="O213">
            <v>1490</v>
          </cell>
        </row>
        <row r="214">
          <cell r="A214">
            <v>45520</v>
          </cell>
          <cell r="B214">
            <v>1295.3</v>
          </cell>
          <cell r="K214">
            <v>45504</v>
          </cell>
          <cell r="L214">
            <v>1481853.5</v>
          </cell>
          <cell r="N214">
            <v>45518</v>
          </cell>
          <cell r="O214">
            <v>1515</v>
          </cell>
        </row>
        <row r="215">
          <cell r="A215">
            <v>45519</v>
          </cell>
          <cell r="B215">
            <v>1276.21</v>
          </cell>
          <cell r="K215">
            <v>45503</v>
          </cell>
          <cell r="L215">
            <v>1411953.38</v>
          </cell>
          <cell r="N215">
            <v>45517</v>
          </cell>
          <cell r="O215">
            <v>1557</v>
          </cell>
        </row>
        <row r="216">
          <cell r="A216">
            <v>45518</v>
          </cell>
          <cell r="B216">
            <v>1268.81</v>
          </cell>
          <cell r="K216">
            <v>45502</v>
          </cell>
          <cell r="L216">
            <v>1481241.5</v>
          </cell>
          <cell r="N216">
            <v>45516</v>
          </cell>
          <cell r="O216">
            <v>1560</v>
          </cell>
        </row>
        <row r="217">
          <cell r="A217">
            <v>45517</v>
          </cell>
          <cell r="B217">
            <v>1272.49</v>
          </cell>
          <cell r="K217">
            <v>45499</v>
          </cell>
          <cell r="L217">
            <v>1542021.75</v>
          </cell>
          <cell r="N217">
            <v>45513</v>
          </cell>
          <cell r="O217">
            <v>1558</v>
          </cell>
        </row>
        <row r="218">
          <cell r="A218">
            <v>45516</v>
          </cell>
          <cell r="B218">
            <v>1284.3499999999999</v>
          </cell>
          <cell r="K218">
            <v>45498</v>
          </cell>
          <cell r="L218">
            <v>1538280</v>
          </cell>
          <cell r="N218">
            <v>45512</v>
          </cell>
          <cell r="O218">
            <v>1552</v>
          </cell>
        </row>
        <row r="219">
          <cell r="A219">
            <v>45513</v>
          </cell>
          <cell r="B219">
            <v>1298.27</v>
          </cell>
          <cell r="K219">
            <v>45497</v>
          </cell>
          <cell r="L219">
            <v>1582112.88</v>
          </cell>
          <cell r="N219">
            <v>45511</v>
          </cell>
          <cell r="O219">
            <v>1574</v>
          </cell>
        </row>
        <row r="220">
          <cell r="A220">
            <v>45512</v>
          </cell>
          <cell r="B220">
            <v>1310.45</v>
          </cell>
          <cell r="K220">
            <v>45496</v>
          </cell>
          <cell r="L220">
            <v>1635674.13</v>
          </cell>
          <cell r="N220">
            <v>45510</v>
          </cell>
          <cell r="O220">
            <v>1625</v>
          </cell>
        </row>
        <row r="221">
          <cell r="A221">
            <v>45511</v>
          </cell>
          <cell r="B221">
            <v>1331.95</v>
          </cell>
          <cell r="K221">
            <v>45495</v>
          </cell>
          <cell r="L221">
            <v>1590407</v>
          </cell>
          <cell r="N221">
            <v>45509</v>
          </cell>
          <cell r="O221">
            <v>1653</v>
          </cell>
        </row>
        <row r="222">
          <cell r="A222">
            <v>45510</v>
          </cell>
          <cell r="B222">
            <v>1336.4</v>
          </cell>
          <cell r="K222">
            <v>45492</v>
          </cell>
          <cell r="L222">
            <v>1569018.75</v>
          </cell>
          <cell r="N222">
            <v>45506</v>
          </cell>
          <cell r="O222">
            <v>1612</v>
          </cell>
        </row>
        <row r="223">
          <cell r="A223">
            <v>45509</v>
          </cell>
          <cell r="B223">
            <v>1346.09</v>
          </cell>
          <cell r="K223">
            <v>45491</v>
          </cell>
          <cell r="L223">
            <v>1528790.63</v>
          </cell>
          <cell r="N223">
            <v>45505</v>
          </cell>
          <cell r="O223">
            <v>1550</v>
          </cell>
        </row>
        <row r="224">
          <cell r="A224">
            <v>45506</v>
          </cell>
          <cell r="B224">
            <v>1334.04</v>
          </cell>
          <cell r="K224">
            <v>45490</v>
          </cell>
          <cell r="L224">
            <v>1524496.25</v>
          </cell>
          <cell r="N224">
            <v>45504</v>
          </cell>
          <cell r="O224">
            <v>1507</v>
          </cell>
        </row>
        <row r="225">
          <cell r="A225">
            <v>45505</v>
          </cell>
          <cell r="B225">
            <v>1300.1400000000001</v>
          </cell>
          <cell r="K225">
            <v>45489</v>
          </cell>
          <cell r="L225">
            <v>1526268.13</v>
          </cell>
          <cell r="N225">
            <v>45503</v>
          </cell>
          <cell r="O225">
            <v>1556</v>
          </cell>
        </row>
        <row r="226">
          <cell r="A226">
            <v>45504</v>
          </cell>
          <cell r="B226">
            <v>1293.33</v>
          </cell>
          <cell r="K226">
            <v>45488</v>
          </cell>
          <cell r="L226">
            <v>1504984</v>
          </cell>
          <cell r="N226">
            <v>45502</v>
          </cell>
          <cell r="O226">
            <v>1553</v>
          </cell>
        </row>
        <row r="227">
          <cell r="A227">
            <v>45503</v>
          </cell>
          <cell r="B227">
            <v>1267.95</v>
          </cell>
          <cell r="K227">
            <v>45485</v>
          </cell>
          <cell r="L227">
            <v>1715610</v>
          </cell>
          <cell r="N227">
            <v>45499</v>
          </cell>
          <cell r="O227">
            <v>1562</v>
          </cell>
        </row>
        <row r="228">
          <cell r="A228">
            <v>45502</v>
          </cell>
          <cell r="B228">
            <v>1296.57</v>
          </cell>
          <cell r="K228">
            <v>45484</v>
          </cell>
          <cell r="L228">
            <v>1705676.5</v>
          </cell>
          <cell r="N228">
            <v>45498</v>
          </cell>
          <cell r="O228">
            <v>1589</v>
          </cell>
        </row>
        <row r="229">
          <cell r="A229">
            <v>45499</v>
          </cell>
          <cell r="B229">
            <v>1323.15</v>
          </cell>
          <cell r="K229">
            <v>45483</v>
          </cell>
          <cell r="L229">
            <v>1690009</v>
          </cell>
          <cell r="N229">
            <v>45497</v>
          </cell>
          <cell r="O229">
            <v>1577</v>
          </cell>
        </row>
        <row r="230">
          <cell r="A230">
            <v>45498</v>
          </cell>
          <cell r="B230">
            <v>1332.77</v>
          </cell>
          <cell r="K230">
            <v>45481</v>
          </cell>
          <cell r="L230">
            <v>1643221.13</v>
          </cell>
          <cell r="N230">
            <v>45496</v>
          </cell>
          <cell r="O230">
            <v>1551</v>
          </cell>
        </row>
        <row r="231">
          <cell r="A231">
            <v>45497</v>
          </cell>
          <cell r="B231">
            <v>1337.51</v>
          </cell>
          <cell r="K231">
            <v>45478</v>
          </cell>
          <cell r="L231">
            <v>1629029.5</v>
          </cell>
          <cell r="N231">
            <v>45495</v>
          </cell>
          <cell r="O231">
            <v>1570</v>
          </cell>
        </row>
        <row r="232">
          <cell r="A232">
            <v>45496</v>
          </cell>
          <cell r="B232">
            <v>1324.96</v>
          </cell>
          <cell r="K232">
            <v>45477</v>
          </cell>
          <cell r="L232">
            <v>1612744.63</v>
          </cell>
          <cell r="N232">
            <v>45492</v>
          </cell>
          <cell r="O232">
            <v>1590</v>
          </cell>
        </row>
        <row r="233">
          <cell r="A233">
            <v>45495</v>
          </cell>
          <cell r="B233">
            <v>1333.37</v>
          </cell>
          <cell r="K233">
            <v>45476</v>
          </cell>
          <cell r="L233">
            <v>1603517</v>
          </cell>
          <cell r="N233">
            <v>45491</v>
          </cell>
          <cell r="O233">
            <v>1587</v>
          </cell>
        </row>
        <row r="234">
          <cell r="A234">
            <v>45492</v>
          </cell>
          <cell r="B234">
            <v>1331.7</v>
          </cell>
          <cell r="K234">
            <v>45475</v>
          </cell>
          <cell r="L234">
            <v>1636391.13</v>
          </cell>
          <cell r="N234">
            <v>45490</v>
          </cell>
          <cell r="O234">
            <v>1593</v>
          </cell>
        </row>
        <row r="235">
          <cell r="A235">
            <v>45491</v>
          </cell>
          <cell r="B235">
            <v>1315.29</v>
          </cell>
          <cell r="K235">
            <v>45474</v>
          </cell>
          <cell r="L235">
            <v>1594732.88</v>
          </cell>
          <cell r="N235">
            <v>45489</v>
          </cell>
          <cell r="O235">
            <v>1584</v>
          </cell>
        </row>
        <row r="236">
          <cell r="A236">
            <v>45490</v>
          </cell>
          <cell r="B236">
            <v>1300</v>
          </cell>
          <cell r="K236">
            <v>45471</v>
          </cell>
          <cell r="L236">
            <v>1611295.13</v>
          </cell>
          <cell r="N236">
            <v>45488</v>
          </cell>
          <cell r="O236">
            <v>1555</v>
          </cell>
        </row>
        <row r="237">
          <cell r="A237">
            <v>45489</v>
          </cell>
          <cell r="B237">
            <v>1278.94</v>
          </cell>
          <cell r="K237">
            <v>45470</v>
          </cell>
          <cell r="L237">
            <v>1635667.38</v>
          </cell>
          <cell r="N237">
            <v>45485</v>
          </cell>
          <cell r="O237">
            <v>1511</v>
          </cell>
        </row>
        <row r="238">
          <cell r="A238">
            <v>45488</v>
          </cell>
          <cell r="B238">
            <v>1307.54</v>
          </cell>
          <cell r="K238">
            <v>45469</v>
          </cell>
          <cell r="L238">
            <v>1574472.25</v>
          </cell>
          <cell r="N238">
            <v>45484</v>
          </cell>
          <cell r="O238">
            <v>1473</v>
          </cell>
        </row>
        <row r="239">
          <cell r="A239">
            <v>45485</v>
          </cell>
          <cell r="B239">
            <v>1416.22</v>
          </cell>
          <cell r="K239">
            <v>45468</v>
          </cell>
          <cell r="L239">
            <v>1570620.25</v>
          </cell>
          <cell r="N239">
            <v>45483</v>
          </cell>
          <cell r="O239">
            <v>1477</v>
          </cell>
        </row>
        <row r="240">
          <cell r="A240">
            <v>45484</v>
          </cell>
          <cell r="B240">
            <v>1403.33</v>
          </cell>
          <cell r="K240">
            <v>45467</v>
          </cell>
          <cell r="L240">
            <v>1559667.38</v>
          </cell>
          <cell r="N240">
            <v>45482</v>
          </cell>
          <cell r="O240">
            <v>1491</v>
          </cell>
        </row>
        <row r="241">
          <cell r="A241">
            <v>45483</v>
          </cell>
          <cell r="B241">
            <v>1377.39</v>
          </cell>
          <cell r="K241">
            <v>45462</v>
          </cell>
          <cell r="L241">
            <v>1576462.38</v>
          </cell>
          <cell r="N241">
            <v>45481</v>
          </cell>
          <cell r="O241">
            <v>1496</v>
          </cell>
        </row>
        <row r="242">
          <cell r="A242">
            <v>45482</v>
          </cell>
          <cell r="B242">
            <v>1386.86</v>
          </cell>
          <cell r="K242">
            <v>45461</v>
          </cell>
          <cell r="L242">
            <v>1557429.63</v>
          </cell>
          <cell r="N242">
            <v>45478</v>
          </cell>
          <cell r="O242">
            <v>1406</v>
          </cell>
        </row>
        <row r="243">
          <cell r="A243">
            <v>45481</v>
          </cell>
          <cell r="B243">
            <v>1386.86</v>
          </cell>
          <cell r="K243">
            <v>45457</v>
          </cell>
          <cell r="L243">
            <v>1582372</v>
          </cell>
          <cell r="N243">
            <v>45477</v>
          </cell>
          <cell r="O243">
            <v>1523</v>
          </cell>
        </row>
        <row r="244">
          <cell r="A244">
            <v>45478</v>
          </cell>
          <cell r="B244">
            <v>1396.24</v>
          </cell>
          <cell r="K244">
            <v>45456</v>
          </cell>
          <cell r="L244">
            <v>1605208.38</v>
          </cell>
          <cell r="N244">
            <v>45476</v>
          </cell>
          <cell r="O244">
            <v>1521</v>
          </cell>
        </row>
        <row r="245">
          <cell r="A245">
            <v>45477</v>
          </cell>
          <cell r="B245">
            <v>1395.68</v>
          </cell>
          <cell r="K245">
            <v>45455</v>
          </cell>
          <cell r="L245">
            <v>1568096.38</v>
          </cell>
          <cell r="N245">
            <v>45475</v>
          </cell>
          <cell r="O245">
            <v>1536</v>
          </cell>
        </row>
        <row r="246">
          <cell r="A246">
            <v>45476</v>
          </cell>
          <cell r="B246">
            <v>1382.5</v>
          </cell>
          <cell r="K246">
            <v>45454</v>
          </cell>
          <cell r="L246">
            <v>1544869.25</v>
          </cell>
          <cell r="N246">
            <v>45474</v>
          </cell>
          <cell r="O246">
            <v>1513</v>
          </cell>
        </row>
        <row r="247">
          <cell r="A247">
            <v>45475</v>
          </cell>
          <cell r="B247">
            <v>1428.46</v>
          </cell>
          <cell r="K247">
            <v>45453</v>
          </cell>
          <cell r="L247">
            <v>1576628.38</v>
          </cell>
          <cell r="N247">
            <v>45471</v>
          </cell>
          <cell r="O247">
            <v>1456</v>
          </cell>
        </row>
        <row r="248">
          <cell r="A248">
            <v>45474</v>
          </cell>
          <cell r="B248">
            <v>1413.01</v>
          </cell>
          <cell r="K248">
            <v>45450</v>
          </cell>
          <cell r="L248">
            <v>1519209.13</v>
          </cell>
          <cell r="N248">
            <v>45470</v>
          </cell>
          <cell r="O248">
            <v>1445</v>
          </cell>
        </row>
        <row r="249">
          <cell r="A249">
            <v>45471</v>
          </cell>
          <cell r="B249">
            <v>1347.96</v>
          </cell>
          <cell r="K249">
            <v>45449</v>
          </cell>
          <cell r="L249">
            <v>1503728.38</v>
          </cell>
          <cell r="N249">
            <v>45469</v>
          </cell>
          <cell r="O249">
            <v>1429</v>
          </cell>
        </row>
        <row r="250">
          <cell r="A250">
            <v>45470</v>
          </cell>
          <cell r="B250">
            <v>1331.96</v>
          </cell>
          <cell r="N250">
            <v>45468</v>
          </cell>
          <cell r="O250">
            <v>1440</v>
          </cell>
        </row>
        <row r="251">
          <cell r="A251">
            <v>45469</v>
          </cell>
          <cell r="B251">
            <v>1332.13</v>
          </cell>
          <cell r="N251">
            <v>45467</v>
          </cell>
          <cell r="O251">
            <v>1443</v>
          </cell>
        </row>
        <row r="252">
          <cell r="A252">
            <v>45468</v>
          </cell>
          <cell r="B252">
            <v>1308.99</v>
          </cell>
          <cell r="N252">
            <v>45464</v>
          </cell>
          <cell r="O252">
            <v>1420</v>
          </cell>
        </row>
        <row r="253">
          <cell r="A253">
            <v>45467</v>
          </cell>
          <cell r="B253">
            <v>1295.22</v>
          </cell>
          <cell r="N253">
            <v>45463</v>
          </cell>
          <cell r="O253">
            <v>1402</v>
          </cell>
        </row>
        <row r="254">
          <cell r="A254">
            <v>45464</v>
          </cell>
          <cell r="B254">
            <v>1273.81</v>
          </cell>
          <cell r="N254">
            <v>45462</v>
          </cell>
          <cell r="O254">
            <v>1384</v>
          </cell>
        </row>
        <row r="255">
          <cell r="A255">
            <v>45463</v>
          </cell>
          <cell r="B255">
            <v>1273.81</v>
          </cell>
          <cell r="N255">
            <v>45461</v>
          </cell>
          <cell r="O255">
            <v>1385</v>
          </cell>
        </row>
        <row r="256">
          <cell r="A256">
            <v>45462</v>
          </cell>
          <cell r="B256">
            <v>1273.81</v>
          </cell>
          <cell r="N256">
            <v>45460</v>
          </cell>
          <cell r="O256">
            <v>1382</v>
          </cell>
        </row>
        <row r="257">
          <cell r="A257">
            <v>45461</v>
          </cell>
          <cell r="B257">
            <v>1245.49</v>
          </cell>
          <cell r="N257">
            <v>45457</v>
          </cell>
          <cell r="O257">
            <v>1382</v>
          </cell>
        </row>
        <row r="258">
          <cell r="A258">
            <v>45460</v>
          </cell>
          <cell r="B258">
            <v>1244.6400000000001</v>
          </cell>
          <cell r="N258">
            <v>45456</v>
          </cell>
          <cell r="O258">
            <v>1421</v>
          </cell>
        </row>
        <row r="259">
          <cell r="A259">
            <v>45457</v>
          </cell>
          <cell r="B259">
            <v>1244.6400000000001</v>
          </cell>
          <cell r="N259">
            <v>45455</v>
          </cell>
          <cell r="O259">
            <v>1484</v>
          </cell>
        </row>
        <row r="260">
          <cell r="A260">
            <v>45456</v>
          </cell>
          <cell r="B260">
            <v>1241.0999999999999</v>
          </cell>
          <cell r="N260">
            <v>45454</v>
          </cell>
          <cell r="O260">
            <v>1525</v>
          </cell>
        </row>
        <row r="261">
          <cell r="A261">
            <v>45455</v>
          </cell>
          <cell r="B261">
            <v>1278.94</v>
          </cell>
          <cell r="N261">
            <v>45453</v>
          </cell>
          <cell r="O261">
            <v>1488</v>
          </cell>
        </row>
        <row r="262">
          <cell r="A262">
            <v>45454</v>
          </cell>
          <cell r="B262">
            <v>1273.9000000000001</v>
          </cell>
          <cell r="N262">
            <v>45450</v>
          </cell>
          <cell r="O262">
            <v>1582</v>
          </cell>
        </row>
        <row r="263">
          <cell r="A263">
            <v>45453</v>
          </cell>
          <cell r="B263">
            <v>1272.6300000000001</v>
          </cell>
          <cell r="N263">
            <v>45449</v>
          </cell>
          <cell r="O263">
            <v>1596</v>
          </cell>
        </row>
        <row r="264">
          <cell r="A264">
            <v>45450</v>
          </cell>
          <cell r="B264">
            <v>1282.33</v>
          </cell>
        </row>
        <row r="265">
          <cell r="A265">
            <v>45449</v>
          </cell>
          <cell r="B265">
            <v>1272.01</v>
          </cell>
        </row>
      </sheetData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ase"/>
      <sheetName val="1) Estadística"/>
      <sheetName val="2) Research"/>
      <sheetName val="3) Macro"/>
      <sheetName val="4) Financial Statements"/>
      <sheetName val="5) Ratios"/>
      <sheetName val="6) Proyecciones"/>
      <sheetName val="FCFF"/>
      <sheetName val="Bonus Relative Valu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1">
          <cell r="E41">
            <v>1200000000</v>
          </cell>
        </row>
      </sheetData>
      <sheetData sheetId="9">
        <row r="9">
          <cell r="C9" t="str">
            <v>P/E</v>
          </cell>
        </row>
        <row r="11">
          <cell r="A11" t="str">
            <v>Agrometal</v>
          </cell>
          <cell r="C11">
            <v>1.78</v>
          </cell>
        </row>
        <row r="12">
          <cell r="A12" t="str">
            <v>Brasilagro</v>
          </cell>
          <cell r="C12">
            <v>0.93</v>
          </cell>
        </row>
        <row r="13">
          <cell r="A13" t="str">
            <v>Itausa</v>
          </cell>
          <cell r="C13">
            <v>1.34</v>
          </cell>
        </row>
        <row r="14">
          <cell r="A14" t="str">
            <v>Adecoagro</v>
          </cell>
          <cell r="C14">
            <v>0.67</v>
          </cell>
        </row>
        <row r="15">
          <cell r="A15" t="str">
            <v>KubotaCorp</v>
          </cell>
          <cell r="C15">
            <v>0.77</v>
          </cell>
        </row>
        <row r="16">
          <cell r="A16" t="str">
            <v>AGCO Corporation</v>
          </cell>
          <cell r="C16">
            <v>2.12</v>
          </cell>
        </row>
        <row r="17">
          <cell r="A17" t="str">
            <v>CNH Industrial NV</v>
          </cell>
          <cell r="C17">
            <v>2.11</v>
          </cell>
        </row>
        <row r="18">
          <cell r="A18" t="str">
            <v>Promedio</v>
          </cell>
          <cell r="C18">
            <v>1.3885714285714286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Mi%20unidad/Universidad/5to%20a&#241;o/Econom&#237;a%20T&#233;cnica%20Burs&#225;til/TP%2010,11,12/TP10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 Camus" refreshedDate="45816.852164236108" createdVersion="7" refreshedVersion="7" minRefreshableVersion="3" recordCount="1577" xr:uid="{CA08FCFD-00A2-4C99-9642-9D8841598313}">
  <cacheSource type="worksheet">
    <worksheetSource ref="D4:E1581" sheet="Base" r:id="rId2"/>
  </cacheSource>
  <cacheFields count="4">
    <cacheField name="Fecha" numFmtId="14">
      <sharedItems containsSemiMixedTypes="0" containsNonDate="0" containsDate="1" containsString="0" minDate="2020-03-20T00:00:00" maxDate="2025-06-07T00:00:00" count="1577">
        <d v="2025-06-06T00:00:00"/>
        <d v="2025-06-05T00:00:00"/>
        <d v="2025-06-04T00:00:00"/>
        <d v="2025-06-03T00:00:00"/>
        <d v="2025-06-02T00:00:00"/>
        <d v="2025-05-30T00:00:00"/>
        <d v="2025-05-29T00:00:00"/>
        <d v="2025-05-28T00:00:00"/>
        <d v="2025-05-27T00:00:00"/>
        <d v="2025-05-26T00:00:00"/>
        <d v="2025-05-23T00:00:00"/>
        <d v="2025-05-22T00:00:00"/>
        <d v="2025-05-21T00:00:00"/>
        <d v="2025-05-20T00:00:00"/>
        <d v="2025-05-19T00:00:00"/>
        <d v="2025-05-16T00:00:00"/>
        <d v="2025-05-15T00:00:00"/>
        <d v="2025-05-14T00:00:00"/>
        <d v="2025-05-13T00:00:00"/>
        <d v="2025-05-12T00:00:00"/>
        <d v="2025-05-09T00:00:00"/>
        <d v="2025-05-08T00:00:00"/>
        <d v="2025-05-07T00:00:00"/>
        <d v="2025-05-06T00:00:00"/>
        <d v="2025-05-05T00:00:00"/>
        <d v="2025-05-02T00:00:00"/>
        <d v="2025-05-01T00:00:00"/>
        <d v="2025-04-30T00:00:00"/>
        <d v="2025-04-29T00:00:00"/>
        <d v="2025-04-28T00:00:00"/>
        <d v="2025-04-25T00:00:00"/>
        <d v="2025-04-24T00:00:00"/>
        <d v="2025-04-23T00:00:00"/>
        <d v="2025-04-22T00:00:00"/>
        <d v="2025-04-21T00:00:00"/>
        <d v="2025-04-18T00:00:00"/>
        <d v="2025-04-17T00:00:00"/>
        <d v="2025-04-16T00:00:00"/>
        <d v="2025-04-15T00:00:00"/>
        <d v="2025-04-14T00:00:00"/>
        <d v="2025-04-11T00:00:00"/>
        <d v="2025-04-10T00:00:00"/>
        <d v="2025-04-09T00:00:00"/>
        <d v="2025-04-08T00:00:00"/>
        <d v="2025-04-07T00:00:00"/>
        <d v="2025-04-04T00:00:00"/>
        <d v="2025-04-03T00:00:00"/>
        <d v="2025-04-02T00:00:00"/>
        <d v="2025-04-01T00:00:00"/>
        <d v="2025-03-31T00:00:00"/>
        <d v="2025-03-28T00:00:00"/>
        <d v="2025-03-27T00:00:00"/>
        <d v="2025-03-26T00:00:00"/>
        <d v="2025-03-25T00:00:00"/>
        <d v="2025-03-24T00:00:00"/>
        <d v="2025-03-21T00:00:00"/>
        <d v="2025-03-20T00:00:00"/>
        <d v="2025-03-19T00:00:00"/>
        <d v="2025-03-18T00:00:00"/>
        <d v="2025-03-17T00:00:00"/>
        <d v="2025-03-14T00:00:00"/>
        <d v="2025-03-13T00:00:00"/>
        <d v="2025-03-12T00:00:00"/>
        <d v="2025-03-11T00:00:00"/>
        <d v="2025-03-10T00:00:00"/>
        <d v="2025-03-07T00:00:00"/>
        <d v="2025-03-06T00:00:00"/>
        <d v="2025-03-05T00:00:00"/>
        <d v="2025-03-04T00:00:00"/>
        <d v="2025-03-03T00:00:00"/>
        <d v="2025-02-28T00:00:00"/>
        <d v="2025-02-27T00:00:00"/>
        <d v="2025-02-26T00:00:00"/>
        <d v="2025-02-25T00:00:00"/>
        <d v="2025-02-24T00:00:00"/>
        <d v="2025-02-21T00:00:00"/>
        <d v="2025-02-20T00:00:00"/>
        <d v="2025-02-19T00:00:00"/>
        <d v="2025-02-18T00:00:00"/>
        <d v="2025-02-17T00:00:00"/>
        <d v="2025-02-14T00:00:00"/>
        <d v="2025-02-13T00:00:00"/>
        <d v="2025-02-12T00:00:00"/>
        <d v="2025-02-11T00:00:00"/>
        <d v="2025-02-10T00:00:00"/>
        <d v="2025-02-07T00:00:00"/>
        <d v="2025-02-06T00:00:00"/>
        <d v="2025-02-05T00:00:00"/>
        <d v="2025-02-04T00:00:00"/>
        <d v="2025-02-03T00:00:00"/>
        <d v="2025-01-31T00:00:00"/>
        <d v="2025-01-30T00:00:00"/>
        <d v="2025-01-29T00:00:00"/>
        <d v="2025-01-28T00:00:00"/>
        <d v="2025-01-27T00:00:00"/>
        <d v="2025-01-24T00:00:00"/>
        <d v="2025-01-23T00:00:00"/>
        <d v="2025-01-22T00:00:00"/>
        <d v="2025-01-21T00:00:00"/>
        <d v="2025-01-20T00:00:00"/>
        <d v="2025-01-17T00:00:00"/>
        <d v="2025-01-16T00:00:00"/>
        <d v="2025-01-15T00:00:00"/>
        <d v="2025-01-14T00:00:00"/>
        <d v="2025-01-13T00:00:00"/>
        <d v="2025-01-10T00:00:00"/>
        <d v="2025-01-09T00:00:00"/>
        <d v="2025-01-08T00:00:00"/>
        <d v="2025-01-07T00:00:00"/>
        <d v="2025-01-06T00:00:00"/>
        <d v="2025-01-03T00:00:00"/>
        <d v="2025-01-02T00:00:00"/>
        <d v="2025-01-01T00:00:00"/>
        <d v="2024-12-31T00:00:00"/>
        <d v="2024-12-30T00:00:00"/>
        <d v="2024-12-27T00:00:00"/>
        <d v="2024-12-26T00:00:00"/>
        <d v="2024-12-25T00:00:00"/>
        <d v="2024-12-24T00:00:00"/>
        <d v="2024-12-23T00:00:00"/>
        <d v="2024-12-20T00:00:00"/>
        <d v="2024-12-19T00:00:00"/>
        <d v="2024-12-18T00:00:00"/>
        <d v="2024-12-17T00:00:00"/>
        <d v="2024-12-16T00:00:00"/>
        <d v="2024-12-13T00:00:00"/>
        <d v="2024-12-12T00:00:00"/>
        <d v="2024-12-11T00:00:00"/>
        <d v="2024-12-10T00:00:00"/>
        <d v="2024-12-09T00:00:00"/>
        <d v="2024-12-06T00:00:00"/>
        <d v="2024-12-05T00:00:00"/>
        <d v="2024-12-04T00:00:00"/>
        <d v="2024-12-03T00:00:00"/>
        <d v="2024-12-02T00:00:00"/>
        <d v="2024-11-29T00:00:00"/>
        <d v="2024-11-28T00:00:00"/>
        <d v="2024-11-27T00:00:00"/>
        <d v="2024-11-26T00:00:00"/>
        <d v="2024-11-25T00:00:00"/>
        <d v="2024-11-22T00:00:00"/>
        <d v="2024-11-21T00:00:00"/>
        <d v="2024-11-20T00:00:00"/>
        <d v="2024-11-19T00:00:00"/>
        <d v="2024-11-18T00:00:00"/>
        <d v="2024-11-15T00:00:00"/>
        <d v="2024-11-14T00:00:00"/>
        <d v="2024-11-13T00:00:00"/>
        <d v="2024-11-12T00:00:00"/>
        <d v="2024-11-11T00:00:00"/>
        <d v="2024-11-08T00:00:00"/>
        <d v="2024-11-07T00:00:00"/>
        <d v="2024-11-06T00:00:00"/>
        <d v="2024-11-05T00:00:00"/>
        <d v="2024-11-04T00:00:00"/>
        <d v="2024-11-01T00:00:00"/>
        <d v="2024-10-31T00:00:00"/>
        <d v="2024-10-30T00:00:00"/>
        <d v="2024-10-29T00:00:00"/>
        <d v="2024-10-28T00:00:00"/>
        <d v="2024-10-25T00:00:00"/>
        <d v="2024-10-24T00:00:00"/>
        <d v="2024-10-23T00:00:00"/>
        <d v="2024-10-22T00:00:00"/>
        <d v="2024-10-21T00:00:00"/>
        <d v="2024-10-18T00:00:00"/>
        <d v="2024-10-17T00:00:00"/>
        <d v="2024-10-16T00:00:00"/>
        <d v="2024-10-15T00:00:00"/>
        <d v="2024-10-14T00:00:00"/>
        <d v="2024-10-11T00:00:00"/>
        <d v="2024-10-10T00:00:00"/>
        <d v="2024-10-09T00:00:00"/>
        <d v="2024-10-08T00:00:00"/>
        <d v="2024-10-07T00:00:00"/>
        <d v="2024-10-04T00:00:00"/>
        <d v="2024-10-03T00:00:00"/>
        <d v="2024-10-02T00:00:00"/>
        <d v="2024-10-01T00:00:00"/>
        <d v="2024-09-30T00:00:00"/>
        <d v="2024-09-27T00:00:00"/>
        <d v="2024-09-26T00:00:00"/>
        <d v="2024-09-25T00:00:00"/>
        <d v="2024-09-24T00:00:00"/>
        <d v="2024-09-23T00:00:00"/>
        <d v="2024-09-20T00:00:00"/>
        <d v="2024-09-19T00:00:00"/>
        <d v="2024-09-18T00:00:00"/>
        <d v="2024-09-17T00:00:00"/>
        <d v="2024-09-16T00:00:00"/>
        <d v="2024-09-13T00:00:00"/>
        <d v="2024-09-12T00:00:00"/>
        <d v="2024-09-11T00:00:00"/>
        <d v="2024-09-10T00:00:00"/>
        <d v="2024-09-09T00:00:00"/>
        <d v="2024-09-06T00:00:00"/>
        <d v="2024-09-05T00:00:00"/>
        <d v="2024-09-04T00:00:00"/>
        <d v="2024-09-03T00:00:00"/>
        <d v="2024-09-02T00:00:00"/>
        <d v="2024-08-30T00:00:00"/>
        <d v="2024-08-29T00:00:00"/>
        <d v="2024-08-28T00:00:00"/>
        <d v="2024-08-27T00:00:00"/>
        <d v="2024-08-26T00:00:00"/>
        <d v="2024-08-23T00:00:00"/>
        <d v="2024-08-22T00:00:00"/>
        <d v="2024-08-21T00:00:00"/>
        <d v="2024-08-20T00:00:00"/>
        <d v="2024-08-19T00:00:00"/>
        <d v="2024-08-16T00:00:00"/>
        <d v="2024-08-15T00:00:00"/>
        <d v="2024-08-14T00:00:00"/>
        <d v="2024-08-13T00:00:00"/>
        <d v="2024-08-12T00:00:00"/>
        <d v="2024-08-09T00:00:00"/>
        <d v="2024-08-08T00:00:00"/>
        <d v="2024-08-07T00:00:00"/>
        <d v="2024-08-06T00:00:00"/>
        <d v="2024-08-05T00:00:00"/>
        <d v="2024-08-02T00:00:00"/>
        <d v="2024-08-01T00:00:00"/>
        <d v="2024-07-31T00:00:00"/>
        <d v="2024-07-30T00:00:00"/>
        <d v="2024-07-29T00:00:00"/>
        <d v="2024-07-26T00:00:00"/>
        <d v="2024-07-25T00:00:00"/>
        <d v="2024-07-24T00:00:00"/>
        <d v="2024-07-23T00:00:00"/>
        <d v="2024-07-22T00:00:00"/>
        <d v="2024-07-19T00:00:00"/>
        <d v="2024-07-18T00:00:00"/>
        <d v="2024-07-17T00:00:00"/>
        <d v="2024-07-16T00:00:00"/>
        <d v="2024-07-15T00:00:00"/>
        <d v="2024-07-12T00:00:00"/>
        <d v="2024-07-11T00:00:00"/>
        <d v="2024-07-10T00:00:00"/>
        <d v="2024-07-09T00:00:00"/>
        <d v="2024-07-08T00:00:00"/>
        <d v="2024-07-05T00:00:00"/>
        <d v="2024-07-04T00:00:00"/>
        <d v="2024-07-03T00:00:00"/>
        <d v="2024-07-02T00:00:00"/>
        <d v="2024-07-01T00:00:00"/>
        <d v="2024-06-28T00:00:00"/>
        <d v="2024-06-27T00:00:00"/>
        <d v="2024-06-26T00:00:00"/>
        <d v="2024-06-25T00:00:00"/>
        <d v="2024-06-24T00:00:00"/>
        <d v="2024-06-21T00:00:00"/>
        <d v="2024-06-20T00:00:00"/>
        <d v="2024-06-19T00:00:00"/>
        <d v="2024-06-18T00:00:00"/>
        <d v="2024-06-17T00:00:00"/>
        <d v="2024-06-14T00:00:00"/>
        <d v="2024-06-13T00:00:00"/>
        <d v="2024-06-12T00:00:00"/>
        <d v="2024-06-11T00:00:00"/>
        <d v="2024-06-10T00:00:00"/>
        <d v="2024-06-07T00:00:00"/>
        <d v="2024-06-06T00:00:00"/>
        <d v="2024-06-05T00:00:00"/>
        <d v="2024-06-04T00:00:00"/>
        <d v="2024-06-03T00:00:00"/>
        <d v="2024-05-31T00:00:00"/>
        <d v="2024-05-30T00:00:00"/>
        <d v="2024-05-29T00:00:00"/>
        <d v="2024-05-28T00:00:00"/>
        <d v="2024-05-27T00:00:00"/>
        <d v="2024-05-24T00:00:00"/>
        <d v="2024-05-23T00:00:00"/>
        <d v="2024-05-22T00:00:00"/>
        <d v="2024-05-21T00:00:00"/>
        <d v="2024-05-20T00:00:00"/>
        <d v="2024-05-17T00:00:00"/>
        <d v="2024-05-16T00:00:00"/>
        <d v="2024-05-15T00:00:00"/>
        <d v="2024-05-14T00:00:00"/>
        <d v="2024-05-13T00:00:00"/>
        <d v="2024-05-10T00:00:00"/>
        <d v="2024-05-09T00:00:00"/>
        <d v="2024-05-08T00:00:00"/>
        <d v="2024-05-07T00:00:00"/>
        <d v="2024-05-06T00:00:00"/>
        <d v="2024-05-03T00:00:00"/>
        <d v="2024-05-02T00:00:00"/>
        <d v="2024-05-01T00:00:00"/>
        <d v="2024-04-30T00:00:00"/>
        <d v="2024-04-29T00:00:00"/>
        <d v="2024-04-26T00:00:00"/>
        <d v="2024-04-25T00:00:00"/>
        <d v="2024-04-24T00:00:00"/>
        <d v="2024-04-23T00:00:00"/>
        <d v="2024-04-22T00:00:00"/>
        <d v="2024-04-19T00:00:00"/>
        <d v="2024-04-18T00:00:00"/>
        <d v="2024-04-17T00:00:00"/>
        <d v="2024-04-16T00:00:00"/>
        <d v="2024-04-15T00:00:00"/>
        <d v="2024-04-12T00:00:00"/>
        <d v="2024-04-11T00:00:00"/>
        <d v="2024-04-10T00:00:00"/>
        <d v="2024-04-09T00:00:00"/>
        <d v="2024-04-08T00:00:00"/>
        <d v="2024-04-05T00:00:00"/>
        <d v="2024-04-04T00:00:00"/>
        <d v="2024-04-03T00:00:00"/>
        <d v="2024-04-02T00:00:00"/>
        <d v="2024-04-01T00:00:00"/>
        <d v="2024-03-29T00:00:00"/>
        <d v="2024-03-28T00:00:00"/>
        <d v="2024-03-27T00:00:00"/>
        <d v="2024-03-26T00:00:00"/>
        <d v="2024-03-25T00:00:00"/>
        <d v="2024-03-22T00:00:00"/>
        <d v="2024-03-21T00:00:00"/>
        <d v="2024-03-20T00:00:00"/>
        <d v="2024-03-19T00:00:00"/>
        <d v="2024-03-18T00:00:00"/>
        <d v="2024-03-15T00:00:00"/>
        <d v="2024-03-14T00:00:00"/>
        <d v="2024-03-13T00:00:00"/>
        <d v="2024-03-12T00:00:00"/>
        <d v="2024-03-11T00:00:00"/>
        <d v="2024-03-08T00:00:00"/>
        <d v="2024-03-07T00:00:00"/>
        <d v="2024-03-06T00:00:00"/>
        <d v="2024-03-05T00:00:00"/>
        <d v="2024-03-04T00:00:00"/>
        <d v="2024-03-01T00:00:00"/>
        <d v="2024-02-29T00:00:00"/>
        <d v="2024-02-28T00:00:00"/>
        <d v="2024-02-27T00:00:00"/>
        <d v="2024-02-26T00:00:00"/>
        <d v="2024-02-23T00:00:00"/>
        <d v="2024-02-22T00:00:00"/>
        <d v="2024-02-21T00:00:00"/>
        <d v="2024-02-20T00:00:00"/>
        <d v="2024-02-19T00:00:00"/>
        <d v="2024-02-16T00:00:00"/>
        <d v="2024-02-15T00:00:00"/>
        <d v="2024-02-14T00:00:00"/>
        <d v="2024-02-13T00:00:00"/>
        <d v="2024-02-12T00:00:00"/>
        <d v="2024-02-09T00:00:00"/>
        <d v="2024-02-08T00:00:00"/>
        <d v="2024-02-07T00:00:00"/>
        <d v="2024-02-06T00:00:00"/>
        <d v="2024-02-05T00:00:00"/>
        <d v="2024-02-02T00:00:00"/>
        <d v="2024-02-01T00:00:00"/>
        <d v="2024-01-31T00:00:00"/>
        <d v="2024-01-30T00:00:00"/>
        <d v="2024-01-29T00:00:00"/>
        <d v="2024-01-26T00:00:00"/>
        <d v="2024-01-25T00:00:00"/>
        <d v="2024-01-24T00:00:00"/>
        <d v="2024-01-23T00:00:00"/>
        <d v="2024-01-22T00:00:00"/>
        <d v="2024-01-19T00:00:00"/>
        <d v="2024-01-18T00:00:00"/>
        <d v="2024-01-17T00:00:00"/>
        <d v="2024-01-16T00:00:00"/>
        <d v="2024-01-15T00:00:00"/>
        <d v="2024-01-12T00:00:00"/>
        <d v="2024-01-11T00:00:00"/>
        <d v="2024-01-10T00:00:00"/>
        <d v="2024-01-09T00:00:00"/>
        <d v="2024-01-08T00:00:00"/>
        <d v="2024-01-05T00:00:00"/>
        <d v="2024-01-04T00:00:00"/>
        <d v="2024-01-03T00:00:00"/>
        <d v="2024-01-02T00:00:00"/>
        <d v="2024-01-01T00:00:00"/>
        <d v="2023-12-29T00:00:00"/>
        <d v="2023-12-28T00:00:00"/>
        <d v="2023-12-27T00:00:00"/>
        <d v="2023-12-26T00:00:00"/>
        <d v="2023-12-25T00:00:00"/>
        <d v="2023-12-22T00:00:00"/>
        <d v="2023-12-21T00:00:00"/>
        <d v="2023-12-20T00:00:00"/>
        <d v="2023-12-19T00:00:00"/>
        <d v="2023-12-18T00:00:00"/>
        <d v="2023-12-15T00:00:00"/>
        <d v="2023-12-14T00:00:00"/>
        <d v="2023-12-13T00:00:00"/>
        <d v="2023-12-12T00:00:00"/>
        <d v="2023-12-11T00:00:00"/>
        <d v="2023-12-08T00:00:00"/>
        <d v="2023-12-07T00:00:00"/>
        <d v="2023-12-06T00:00:00"/>
        <d v="2023-12-05T00:00:00"/>
        <d v="2023-12-04T00:00:00"/>
        <d v="2023-12-01T00:00:00"/>
        <d v="2023-11-30T00:00:00"/>
        <d v="2023-11-29T00:00:00"/>
        <d v="2023-11-28T00:00:00"/>
        <d v="2023-11-27T00:00:00"/>
        <d v="2023-11-24T00:00:00"/>
        <d v="2023-11-23T00:00:00"/>
        <d v="2023-11-22T00:00:00"/>
        <d v="2023-11-21T00:00:00"/>
        <d v="2023-11-20T00:00:00"/>
        <d v="2023-11-17T00:00:00"/>
        <d v="2023-11-16T00:00:00"/>
        <d v="2023-11-15T00:00:00"/>
        <d v="2023-11-14T00:00:00"/>
        <d v="2023-11-13T00:00:00"/>
        <d v="2023-11-10T00:00:00"/>
        <d v="2023-11-09T00:00:00"/>
        <d v="2023-11-08T00:00:00"/>
        <d v="2023-11-07T00:00:00"/>
        <d v="2023-11-06T00:00:00"/>
        <d v="2023-11-03T00:00:00"/>
        <d v="2023-11-02T00:00:00"/>
        <d v="2023-11-01T00:00:00"/>
        <d v="2023-10-31T00:00:00"/>
        <d v="2023-10-30T00:00:00"/>
        <d v="2023-10-27T00:00:00"/>
        <d v="2023-10-26T00:00:00"/>
        <d v="2023-10-25T00:00:00"/>
        <d v="2023-10-24T00:00:00"/>
        <d v="2023-10-23T00:00:00"/>
        <d v="2023-10-20T00:00:00"/>
        <d v="2023-10-19T00:00:00"/>
        <d v="2023-10-18T00:00:00"/>
        <d v="2023-10-17T00:00:00"/>
        <d v="2023-10-16T00:00:00"/>
        <d v="2023-10-13T00:00:00"/>
        <d v="2023-10-12T00:00:00"/>
        <d v="2023-10-11T00:00:00"/>
        <d v="2023-10-10T00:00:00"/>
        <d v="2023-10-09T00:00:00"/>
        <d v="2023-10-06T00:00:00"/>
        <d v="2023-10-05T00:00:00"/>
        <d v="2023-10-04T00:00:00"/>
        <d v="2023-10-03T00:00:00"/>
        <d v="2023-10-02T00:00:00"/>
        <d v="2023-09-29T00:00:00"/>
        <d v="2023-09-28T00:00:00"/>
        <d v="2023-09-27T00:00:00"/>
        <d v="2023-09-26T00:00:00"/>
        <d v="2023-09-25T00:00:00"/>
        <d v="2023-09-22T00:00:00"/>
        <d v="2023-09-21T00:00:00"/>
        <d v="2023-09-20T00:00:00"/>
        <d v="2023-09-19T00:00:00"/>
        <d v="2023-09-18T00:00:00"/>
        <d v="2023-09-15T00:00:00"/>
        <d v="2023-09-14T00:00:00"/>
        <d v="2023-09-13T00:00:00"/>
        <d v="2023-09-12T00:00:00"/>
        <d v="2023-09-11T00:00:00"/>
        <d v="2023-09-08T00:00:00"/>
        <d v="2023-09-07T00:00:00"/>
        <d v="2023-09-06T00:00:00"/>
        <d v="2023-09-05T00:00:00"/>
        <d v="2023-09-04T00:00:00"/>
        <d v="2023-09-01T00:00:00"/>
        <d v="2023-08-31T00:00:00"/>
        <d v="2023-08-30T00:00:00"/>
        <d v="2023-08-29T00:00:00"/>
        <d v="2023-08-28T00:00:00"/>
        <d v="2023-08-25T00:00:00"/>
        <d v="2023-08-24T00:00:00"/>
        <d v="2023-08-23T00:00:00"/>
        <d v="2023-08-22T00:00:00"/>
        <d v="2023-08-21T00:00:00"/>
        <d v="2023-08-18T00:00:00"/>
        <d v="2023-08-17T00:00:00"/>
        <d v="2023-08-16T00:00:00"/>
        <d v="2023-08-15T00:00:00"/>
        <d v="2023-08-14T00:00:00"/>
        <d v="2023-08-11T00:00:00"/>
        <d v="2023-08-10T00:00:00"/>
        <d v="2023-08-09T00:00:00"/>
        <d v="2023-08-08T00:00:00"/>
        <d v="2023-08-07T00:00:00"/>
        <d v="2023-08-04T00:00:00"/>
        <d v="2023-08-03T00:00:00"/>
        <d v="2023-08-02T00:00:00"/>
        <d v="2023-08-01T00:00:00"/>
        <d v="2023-07-31T00:00:00"/>
        <d v="2023-07-28T00:00:00"/>
        <d v="2023-07-27T00:00:00"/>
        <d v="2023-07-26T00:00:00"/>
        <d v="2023-07-25T00:00:00"/>
        <d v="2023-07-24T00:00:00"/>
        <d v="2023-07-21T00:00:00"/>
        <d v="2023-07-20T00:00:00"/>
        <d v="2023-07-19T00:00:00"/>
        <d v="2023-07-18T00:00:00"/>
        <d v="2023-07-17T00:00:00"/>
        <d v="2023-07-14T00:00:00"/>
        <d v="2023-07-13T00:00:00"/>
        <d v="2023-07-12T00:00:00"/>
        <d v="2023-07-11T00:00:00"/>
        <d v="2023-07-10T00:00:00"/>
        <d v="2023-07-07T00:00:00"/>
        <d v="2023-07-06T00:00:00"/>
        <d v="2023-07-05T00:00:00"/>
        <d v="2023-07-04T00:00:00"/>
        <d v="2023-07-03T00:00:00"/>
        <d v="2023-06-30T00:00:00"/>
        <d v="2023-06-29T00:00:00"/>
        <d v="2023-06-28T00:00:00"/>
        <d v="2023-06-27T00:00:00"/>
        <d v="2023-06-26T00:00:00"/>
        <d v="2023-06-23T00:00:00"/>
        <d v="2023-06-22T00:00:00"/>
        <d v="2023-06-21T00:00:00"/>
        <d v="2023-06-20T00:00:00"/>
        <d v="2023-06-19T00:00:00"/>
        <d v="2023-06-16T00:00:00"/>
        <d v="2023-06-15T00:00:00"/>
        <d v="2023-06-14T00:00:00"/>
        <d v="2023-06-13T00:00:00"/>
        <d v="2023-06-12T00:00:00"/>
        <d v="2023-06-09T00:00:00"/>
        <d v="2023-06-08T00:00:00"/>
        <d v="2023-06-07T00:00:00"/>
        <d v="2023-06-06T00:00:00"/>
        <d v="2023-06-05T00:00:00"/>
        <d v="2023-06-02T00:00:00"/>
        <d v="2023-06-01T00:00:00"/>
        <d v="2023-05-31T00:00:00"/>
        <d v="2023-05-30T00:00:00"/>
        <d v="2023-05-29T00:00:00"/>
        <d v="2023-05-26T00:00:00"/>
        <d v="2023-05-25T00:00:00"/>
        <d v="2023-05-24T00:00:00"/>
        <d v="2023-05-23T00:00:00"/>
        <d v="2023-05-22T00:00:00"/>
        <d v="2023-05-19T00:00:00"/>
        <d v="2023-05-18T00:00:00"/>
        <d v="2023-05-17T00:00:00"/>
        <d v="2023-05-16T00:00:00"/>
        <d v="2023-05-15T00:00:00"/>
        <d v="2023-05-12T00:00:00"/>
        <d v="2023-05-11T00:00:00"/>
        <d v="2023-05-10T00:00:00"/>
        <d v="2023-05-09T00:00:00"/>
        <d v="2023-05-08T00:00:00"/>
        <d v="2023-05-05T00:00:00"/>
        <d v="2023-05-04T00:00:00"/>
        <d v="2023-05-03T00:00:00"/>
        <d v="2023-05-02T00:00:00"/>
        <d v="2023-05-01T00:00:00"/>
        <d v="2023-04-28T00:00:00"/>
        <d v="2023-04-27T00:00:00"/>
        <d v="2023-04-26T00:00:00"/>
        <d v="2023-04-25T00:00:00"/>
        <d v="2023-04-24T00:00:00"/>
        <d v="2023-04-21T00:00:00"/>
        <d v="2023-04-20T00:00:00"/>
        <d v="2023-04-19T00:00:00"/>
        <d v="2023-04-18T00:00:00"/>
        <d v="2023-04-17T00:00:00"/>
        <d v="2023-04-14T00:00:00"/>
        <d v="2023-04-13T00:00:00"/>
        <d v="2023-04-12T00:00:00"/>
        <d v="2023-04-11T00:00:00"/>
        <d v="2023-04-10T00:00:00"/>
        <d v="2023-04-07T00:00:00"/>
        <d v="2023-04-06T00:00:00"/>
        <d v="2023-04-05T00:00:00"/>
        <d v="2023-04-04T00:00:00"/>
        <d v="2023-04-03T00:00:00"/>
        <d v="2023-03-31T00:00:00"/>
        <d v="2023-03-30T00:00:00"/>
        <d v="2023-03-29T00:00:00"/>
        <d v="2023-03-28T00:00:00"/>
        <d v="2023-03-27T00:00:00"/>
        <d v="2023-03-24T00:00:00"/>
        <d v="2023-03-23T00:00:00"/>
        <d v="2023-03-22T00:00:00"/>
        <d v="2023-03-21T00:00:00"/>
        <d v="2023-03-20T00:00:00"/>
        <d v="2023-03-17T00:00:00"/>
        <d v="2023-03-16T00:00:00"/>
        <d v="2023-03-15T00:00:00"/>
        <d v="2023-03-14T00:00:00"/>
        <d v="2023-03-13T00:00:00"/>
        <d v="2023-03-10T00:00:00"/>
        <d v="2023-03-09T00:00:00"/>
        <d v="2023-03-08T00:00:00"/>
        <d v="2023-03-07T00:00:00"/>
        <d v="2023-03-06T00:00:00"/>
        <d v="2023-03-03T00:00:00"/>
        <d v="2023-03-02T00:00:00"/>
        <d v="2023-03-01T00:00:00"/>
        <d v="2023-02-28T00:00:00"/>
        <d v="2023-02-27T00:00:00"/>
        <d v="2023-02-24T00:00:00"/>
        <d v="2023-02-23T00:00:00"/>
        <d v="2023-02-22T00:00:00"/>
        <d v="2023-02-21T00:00:00"/>
        <d v="2023-02-20T00:00:00"/>
        <d v="2023-02-17T00:00:00"/>
        <d v="2023-02-16T00:00:00"/>
        <d v="2023-02-15T00:00:00"/>
        <d v="2023-02-14T00:00:00"/>
        <d v="2023-02-13T00:00:00"/>
        <d v="2023-02-10T00:00:00"/>
        <d v="2023-02-09T00:00:00"/>
        <d v="2023-02-08T00:00:00"/>
        <d v="2023-02-07T00:00:00"/>
        <d v="2023-02-06T00:00:00"/>
        <d v="2023-02-03T00:00:00"/>
        <d v="2023-02-02T00:00:00"/>
        <d v="2023-02-01T00:00:00"/>
        <d v="2023-01-31T00:00:00"/>
        <d v="2023-01-30T00:00:00"/>
        <d v="2023-01-27T00:00:00"/>
        <d v="2023-01-26T00:00:00"/>
        <d v="2023-01-25T00:00:00"/>
        <d v="2023-01-24T00:00:00"/>
        <d v="2023-01-23T00:00:00"/>
        <d v="2023-01-20T00:00:00"/>
        <d v="2023-01-19T00:00:00"/>
        <d v="2023-01-18T00:00:00"/>
        <d v="2023-01-17T00:00:00"/>
        <d v="2023-01-16T00:00:00"/>
        <d v="2023-01-13T00:00:00"/>
        <d v="2023-01-12T00:00:00"/>
        <d v="2023-01-11T00:00:00"/>
        <d v="2023-01-10T00:00:00"/>
        <d v="2023-01-09T00:00:00"/>
        <d v="2023-01-06T00:00:00"/>
        <d v="2023-01-05T00:00:00"/>
        <d v="2023-01-04T00:00:00"/>
        <d v="2023-01-03T00:00:00"/>
        <d v="2023-01-02T00:00:00"/>
        <d v="2022-12-30T00:00:00"/>
        <d v="2022-12-29T00:00:00"/>
        <d v="2022-12-28T00:00:00"/>
        <d v="2022-12-27T00:00:00"/>
        <d v="2022-12-26T00:00:00"/>
        <d v="2022-12-23T00:00:00"/>
        <d v="2022-12-22T00:00:00"/>
        <d v="2022-12-21T00:00:00"/>
        <d v="2022-12-20T00:00:00"/>
        <d v="2022-12-19T00:00:00"/>
        <d v="2022-12-16T00:00:00"/>
        <d v="2022-12-15T00:00:00"/>
        <d v="2022-12-14T00:00:00"/>
        <d v="2022-12-13T00:00:00"/>
        <d v="2022-12-12T00:00:00"/>
        <d v="2022-12-09T00:00:00"/>
        <d v="2022-12-08T00:00:00"/>
        <d v="2022-12-07T00:00:00"/>
        <d v="2022-12-06T00:00:00"/>
        <d v="2022-12-05T00:00:00"/>
        <d v="2022-12-02T00:00:00"/>
        <d v="2022-12-01T00:00:00"/>
        <d v="2022-11-30T00:00:00"/>
        <d v="2022-11-29T00:00:00"/>
        <d v="2022-11-28T00:00:00"/>
        <d v="2022-11-25T00:00:00"/>
        <d v="2022-11-24T00:00:00"/>
        <d v="2022-11-23T00:00:00"/>
        <d v="2022-11-22T00:00:00"/>
        <d v="2022-11-21T00:00:00"/>
        <d v="2022-11-18T00:00:00"/>
        <d v="2022-11-17T00:00:00"/>
        <d v="2022-11-16T00:00:00"/>
        <d v="2022-11-15T00:00:00"/>
        <d v="2022-11-14T00:00:00"/>
        <d v="2022-11-11T00:00:00"/>
        <d v="2022-11-10T00:00:00"/>
        <d v="2022-11-09T00:00:00"/>
        <d v="2022-11-08T00:00:00"/>
        <d v="2022-11-07T00:00:00"/>
        <d v="2022-11-04T00:00:00"/>
        <d v="2022-11-03T00:00:00"/>
        <d v="2022-11-02T00:00:00"/>
        <d v="2022-11-01T00:00:00"/>
        <d v="2022-10-31T00:00:00"/>
        <d v="2022-10-28T00:00:00"/>
        <d v="2022-10-27T00:00:00"/>
        <d v="2022-10-26T00:00:00"/>
        <d v="2022-10-25T00:00:00"/>
        <d v="2022-10-24T00:00:00"/>
        <d v="2022-10-21T00:00:00"/>
        <d v="2022-10-20T00:00:00"/>
        <d v="2022-10-19T00:00:00"/>
        <d v="2022-10-18T00:00:00"/>
        <d v="2022-10-17T00:00:00"/>
        <d v="2022-10-14T00:00:00"/>
        <d v="2022-10-13T00:00:00"/>
        <d v="2022-10-12T00:00:00"/>
        <d v="2022-10-11T00:00:00"/>
        <d v="2022-10-10T00:00:00"/>
        <d v="2022-10-07T00:00:00"/>
        <d v="2022-10-06T00:00:00"/>
        <d v="2022-10-05T00:00:00"/>
        <d v="2022-10-04T00:00:00"/>
        <d v="2022-10-03T00:00:00"/>
        <d v="2022-09-30T00:00:00"/>
        <d v="2022-09-29T00:00:00"/>
        <d v="2022-09-28T00:00:00"/>
        <d v="2022-09-27T00:00:00"/>
        <d v="2022-09-26T00:00:00"/>
        <d v="2022-09-23T00:00:00"/>
        <d v="2022-09-22T00:00:00"/>
        <d v="2022-09-21T00:00:00"/>
        <d v="2022-09-20T00:00:00"/>
        <d v="2022-09-19T00:00:00"/>
        <d v="2022-09-16T00:00:00"/>
        <d v="2022-09-15T00:00:00"/>
        <d v="2022-09-14T00:00:00"/>
        <d v="2022-09-13T00:00:00"/>
        <d v="2022-09-12T00:00:00"/>
        <d v="2022-09-09T00:00:00"/>
        <d v="2022-09-08T00:00:00"/>
        <d v="2022-09-07T00:00:00"/>
        <d v="2022-09-06T00:00:00"/>
        <d v="2022-09-05T00:00:00"/>
        <d v="2022-09-02T00:00:00"/>
        <d v="2022-09-01T00:00:00"/>
        <d v="2022-08-31T00:00:00"/>
        <d v="2022-08-30T00:00:00"/>
        <d v="2022-08-29T00:00:00"/>
        <d v="2022-08-28T00:00:00"/>
        <d v="2022-08-27T00:00:00"/>
        <d v="2022-08-26T00:00:00"/>
        <d v="2022-08-25T00:00:00"/>
        <d v="2022-08-24T00:00:00"/>
        <d v="2022-08-23T00:00:00"/>
        <d v="2022-08-22T00:00:00"/>
        <d v="2022-08-21T00:00:00"/>
        <d v="2022-08-20T00:00:00"/>
        <d v="2022-08-19T00:00:00"/>
        <d v="2022-08-18T00:00:00"/>
        <d v="2022-08-17T00:00:00"/>
        <d v="2022-08-16T00:00:00"/>
        <d v="2022-08-15T00:00:00"/>
        <d v="2022-08-14T00:00:00"/>
        <d v="2022-08-13T00:00:00"/>
        <d v="2022-08-12T00:00:00"/>
        <d v="2022-08-11T00:00:00"/>
        <d v="2022-08-10T00:00:00"/>
        <d v="2022-08-09T00:00:00"/>
        <d v="2022-08-08T00:00:00"/>
        <d v="2022-08-07T00:00:00"/>
        <d v="2022-08-06T00:00:00"/>
        <d v="2022-08-05T00:00:00"/>
        <d v="2022-08-04T00:00:00"/>
        <d v="2022-08-03T00:00:00"/>
        <d v="2022-08-02T00:00:00"/>
        <d v="2022-08-01T00:00:00"/>
        <d v="2022-07-31T00:00:00"/>
        <d v="2022-07-30T00:00:00"/>
        <d v="2022-07-29T00:00:00"/>
        <d v="2022-07-28T00:00:00"/>
        <d v="2022-07-27T00:00:00"/>
        <d v="2022-07-26T00:00:00"/>
        <d v="2022-07-25T00:00:00"/>
        <d v="2022-07-24T00:00:00"/>
        <d v="2022-07-23T00:00:00"/>
        <d v="2022-07-22T00:00:00"/>
        <d v="2022-07-21T00:00:00"/>
        <d v="2022-07-20T00:00:00"/>
        <d v="2022-07-19T00:00:00"/>
        <d v="2022-07-18T00:00:00"/>
        <d v="2022-07-15T00:00:00"/>
        <d v="2022-07-14T00:00:00"/>
        <d v="2022-07-13T00:00:00"/>
        <d v="2022-07-12T00:00:00"/>
        <d v="2022-07-11T00:00:00"/>
        <d v="2022-07-08T00:00:00"/>
        <d v="2022-07-07T00:00:00"/>
        <d v="2022-07-06T00:00:00"/>
        <d v="2022-07-05T00:00:00"/>
        <d v="2022-07-04T00:00:00"/>
        <d v="2022-07-01T00:00:00"/>
        <d v="2022-06-30T00:00:00"/>
        <d v="2022-06-29T00:00:00"/>
        <d v="2022-06-28T00:00:00"/>
        <d v="2022-06-27T00:00:00"/>
        <d v="2022-06-24T00:00:00"/>
        <d v="2022-06-23T00:00:00"/>
        <d v="2022-06-22T00:00:00"/>
        <d v="2022-06-21T00:00:00"/>
        <d v="2022-06-20T00:00:00"/>
        <d v="2022-06-17T00:00:00"/>
        <d v="2022-06-16T00:00:00"/>
        <d v="2022-06-15T00:00:00"/>
        <d v="2022-06-14T00:00:00"/>
        <d v="2022-06-13T00:00:00"/>
        <d v="2022-06-10T00:00:00"/>
        <d v="2022-06-09T00:00:00"/>
        <d v="2022-06-08T00:00:00"/>
        <d v="2022-06-07T00:00:00"/>
        <d v="2022-06-06T00:00:00"/>
        <d v="2022-06-03T00:00:00"/>
        <d v="2022-06-02T00:00:00"/>
        <d v="2022-06-01T00:00:00"/>
        <d v="2022-05-31T00:00:00"/>
        <d v="2022-05-30T00:00:00"/>
        <d v="2022-05-27T00:00:00"/>
        <d v="2022-05-26T00:00:00"/>
        <d v="2022-05-25T00:00:00"/>
        <d v="2022-05-24T00:00:00"/>
        <d v="2022-05-23T00:00:00"/>
        <d v="2022-05-20T00:00:00"/>
        <d v="2022-05-19T00:00:00"/>
        <d v="2022-05-18T00:00:00"/>
        <d v="2022-05-17T00:00:00"/>
        <d v="2022-05-16T00:00:00"/>
        <d v="2022-05-13T00:00:00"/>
        <d v="2022-05-12T00:00:00"/>
        <d v="2022-05-11T00:00:00"/>
        <d v="2022-05-10T00:00:00"/>
        <d v="2022-05-09T00:00:00"/>
        <d v="2022-05-06T00:00:00"/>
        <d v="2022-05-05T00:00:00"/>
        <d v="2022-05-04T00:00:00"/>
        <d v="2022-05-03T00:00:00"/>
        <d v="2022-05-02T00:00:00"/>
        <d v="2022-04-29T00:00:00"/>
        <d v="2022-04-28T00:00:00"/>
        <d v="2022-04-27T00:00:00"/>
        <d v="2022-04-26T00:00:00"/>
        <d v="2022-04-25T00:00:00"/>
        <d v="2022-04-22T00:00:00"/>
        <d v="2022-04-21T00:00:00"/>
        <d v="2022-04-20T00:00:00"/>
        <d v="2022-04-19T00:00:00"/>
        <d v="2022-04-18T00:00:00"/>
        <d v="2022-04-15T00:00:00"/>
        <d v="2022-04-14T00:00:00"/>
        <d v="2022-04-13T00:00:00"/>
        <d v="2022-04-12T00:00:00"/>
        <d v="2022-04-11T00:00:00"/>
        <d v="2022-04-08T00:00:00"/>
        <d v="2022-04-07T00:00:00"/>
        <d v="2022-04-06T00:00:00"/>
        <d v="2022-04-05T00:00:00"/>
        <d v="2022-04-04T00:00:00"/>
        <d v="2022-04-01T00:00:00"/>
        <d v="2022-03-31T00:00:00"/>
        <d v="2022-03-30T00:00:00"/>
        <d v="2022-03-29T00:00:00"/>
        <d v="2022-03-28T00:00:00"/>
        <d v="2022-03-25T00:00:00"/>
        <d v="2022-03-23T00:00:00"/>
        <d v="2022-03-22T00:00:00"/>
        <d v="2022-03-21T00:00:00"/>
        <d v="2022-03-18T00:00:00"/>
        <d v="2022-03-17T00:00:00"/>
        <d v="2022-03-16T00:00:00"/>
        <d v="2022-03-15T00:00:00"/>
        <d v="2022-03-14T00:00:00"/>
        <d v="2022-03-11T00:00:00"/>
        <d v="2022-03-10T00:00:00"/>
        <d v="2022-03-09T00:00:00"/>
        <d v="2022-03-08T00:00:00"/>
        <d v="2022-03-07T00:00:00"/>
        <d v="2022-03-06T00:00:00"/>
        <d v="2022-03-05T00:00:00"/>
        <d v="2022-03-04T00:00:00"/>
        <d v="2022-03-03T00:00:00"/>
        <d v="2022-03-02T00:00:00"/>
        <d v="2022-03-01T00:00:00"/>
        <d v="2022-02-28T00:00:00"/>
        <d v="2022-02-27T00:00:00"/>
        <d v="2022-02-26T00:00:00"/>
        <d v="2022-02-25T00:00:00"/>
        <d v="2022-02-24T00:00:00"/>
        <d v="2022-02-23T00:00:00"/>
        <d v="2022-02-22T00:00:00"/>
        <d v="2022-02-21T00:00:00"/>
        <d v="2022-02-20T00:00:00"/>
        <d v="2022-02-19T00:00:00"/>
        <d v="2022-02-18T00:00:00"/>
        <d v="2022-02-17T00:00:00"/>
        <d v="2022-02-16T00:00:00"/>
        <d v="2022-02-15T00:00:00"/>
        <d v="2022-02-14T00:00:00"/>
        <d v="2022-02-13T00:00:00"/>
        <d v="2022-02-12T00:00:00"/>
        <d v="2022-02-11T00:00:00"/>
        <d v="2022-02-10T00:00:00"/>
        <d v="2022-02-09T00:00:00"/>
        <d v="2022-02-08T00:00:00"/>
        <d v="2022-02-07T00:00:00"/>
        <d v="2022-02-06T00:00:00"/>
        <d v="2022-02-05T00:00:00"/>
        <d v="2022-02-04T00:00:00"/>
        <d v="2022-02-03T00:00:00"/>
        <d v="2022-02-02T00:00:00"/>
        <d v="2022-02-01T00:00:00"/>
        <d v="2022-01-31T00:00:00"/>
        <d v="2022-01-30T00:00:00"/>
        <d v="2022-01-29T00:00:00"/>
        <d v="2022-01-28T00:00:00"/>
        <d v="2022-01-27T00:00:00"/>
        <d v="2022-01-26T00:00:00"/>
        <d v="2022-01-25T00:00:00"/>
        <d v="2022-01-24T00:00:00"/>
        <d v="2022-01-23T00:00:00"/>
        <d v="2022-01-22T00:00:00"/>
        <d v="2022-01-21T00:00:00"/>
        <d v="2022-01-20T00:00:00"/>
        <d v="2022-01-19T00:00:00"/>
        <d v="2022-01-18T00:00:00"/>
        <d v="2022-01-17T00:00:00"/>
        <d v="2022-01-16T00:00:00"/>
        <d v="2022-01-15T00:00:00"/>
        <d v="2022-01-14T00:00:00"/>
        <d v="2022-01-13T00:00:00"/>
        <d v="2022-01-12T00:00:00"/>
        <d v="2022-01-11T00:00:00"/>
        <d v="2022-01-10T00:00:00"/>
        <d v="2022-01-09T00:00:00"/>
        <d v="2022-01-08T00:00:00"/>
        <d v="2022-01-07T00:00:00"/>
        <d v="2022-01-06T00:00:00"/>
        <d v="2022-01-05T00:00:00"/>
        <d v="2022-01-04T00:00:00"/>
        <d v="2022-01-03T00:00:00"/>
        <d v="2022-01-02T00:00:00"/>
        <d v="2022-01-01T00:00:00"/>
        <d v="2021-12-31T00:00:00"/>
        <d v="2021-12-30T00:00:00"/>
        <d v="2021-12-29T00:00:00"/>
        <d v="2021-12-28T00:00:00"/>
        <d v="2021-12-27T00:00:00"/>
        <d v="2021-12-26T00:00:00"/>
        <d v="2021-12-25T00:00:00"/>
        <d v="2021-12-24T00:00:00"/>
        <d v="2021-12-23T00:00:00"/>
        <d v="2021-12-22T00:00:00"/>
        <d v="2021-12-21T00:00:00"/>
        <d v="2021-12-20T00:00:00"/>
        <d v="2021-12-19T00:00:00"/>
        <d v="2021-12-18T00:00:00"/>
        <d v="2021-12-17T00:00:00"/>
        <d v="2021-12-16T00:00:00"/>
        <d v="2021-12-15T00:00:00"/>
        <d v="2021-12-14T00:00:00"/>
        <d v="2021-12-13T00:00:00"/>
        <d v="2021-12-12T00:00:00"/>
        <d v="2021-12-11T00:00:00"/>
        <d v="2021-12-10T00:00:00"/>
        <d v="2021-12-09T00:00:00"/>
        <d v="2021-12-08T00:00:00"/>
        <d v="2021-12-07T00:00:00"/>
        <d v="2021-12-06T00:00:00"/>
        <d v="2021-12-05T00:00:00"/>
        <d v="2021-12-04T00:00:00"/>
        <d v="2021-12-03T00:00:00"/>
        <d v="2021-12-02T00:00:00"/>
        <d v="2021-12-01T00:00:00"/>
        <d v="2021-11-30T00:00:00"/>
        <d v="2021-11-29T00:00:00"/>
        <d v="2021-11-28T00:00:00"/>
        <d v="2021-11-27T00:00:00"/>
        <d v="2021-11-26T00:00:00"/>
        <d v="2021-11-25T00:00:00"/>
        <d v="2021-11-24T00:00:00"/>
        <d v="2021-11-23T00:00:00"/>
        <d v="2021-11-22T00:00:00"/>
        <d v="2021-11-21T00:00:00"/>
        <d v="2021-11-20T00:00:00"/>
        <d v="2021-11-19T00:00:00"/>
        <d v="2021-11-18T00:00:00"/>
        <d v="2021-11-17T00:00:00"/>
        <d v="2021-11-16T00:00:00"/>
        <d v="2021-11-15T00:00:00"/>
        <d v="2021-11-14T00:00:00"/>
        <d v="2021-11-13T00:00:00"/>
        <d v="2021-11-12T00:00:00"/>
        <d v="2021-11-11T00:00:00"/>
        <d v="2021-11-10T00:00:00"/>
        <d v="2021-11-09T00:00:00"/>
        <d v="2021-11-08T00:00:00"/>
        <d v="2021-11-07T00:00:00"/>
        <d v="2021-11-06T00:00:00"/>
        <d v="2021-11-05T00:00:00"/>
        <d v="2021-11-04T00:00:00"/>
        <d v="2021-11-03T00:00:00"/>
        <d v="2021-11-02T00:00:00"/>
        <d v="2021-11-01T00:00:00"/>
        <d v="2021-10-31T00:00:00"/>
        <d v="2021-10-30T00:00:00"/>
        <d v="2021-10-29T00:00:00"/>
        <d v="2021-10-28T00:00:00"/>
        <d v="2021-10-27T00:00:00"/>
        <d v="2021-10-26T00:00:00"/>
        <d v="2021-10-25T00:00:00"/>
        <d v="2021-10-24T00:00:00"/>
        <d v="2021-10-23T00:00:00"/>
        <d v="2021-10-22T00:00:00"/>
        <d v="2021-10-21T00:00:00"/>
        <d v="2021-10-20T00:00:00"/>
        <d v="2021-10-19T00:00:00"/>
        <d v="2021-10-18T00:00:00"/>
        <d v="2021-10-17T00:00:00"/>
        <d v="2021-10-16T00:00:00"/>
        <d v="2021-10-15T00:00:00"/>
        <d v="2021-10-14T00:00:00"/>
        <d v="2021-10-13T00:00:00"/>
        <d v="2021-10-12T00:00:00"/>
        <d v="2021-10-11T00:00:00"/>
        <d v="2021-10-10T00:00:00"/>
        <d v="2021-10-09T00:00:00"/>
        <d v="2021-10-08T00:00:00"/>
        <d v="2021-10-07T00:00:00"/>
        <d v="2021-10-06T00:00:00"/>
        <d v="2021-10-05T00:00:00"/>
        <d v="2021-10-04T00:00:00"/>
        <d v="2021-10-03T00:00:00"/>
        <d v="2021-10-02T00:00:00"/>
        <d v="2021-10-01T00:00:00"/>
        <d v="2021-09-30T00:00:00"/>
        <d v="2021-09-29T00:00:00"/>
        <d v="2021-09-28T00:00:00"/>
        <d v="2021-09-27T00:00:00"/>
        <d v="2021-09-26T00:00:00"/>
        <d v="2021-09-25T00:00:00"/>
        <d v="2021-09-24T00:00:00"/>
        <d v="2021-09-23T00:00:00"/>
        <d v="2021-09-22T00:00:00"/>
        <d v="2021-09-21T00:00:00"/>
        <d v="2021-09-20T00:00:00"/>
        <d v="2021-09-19T00:00:00"/>
        <d v="2021-09-18T00:00:00"/>
        <d v="2021-09-17T00:00:00"/>
        <d v="2021-09-16T00:00:00"/>
        <d v="2021-09-15T00:00:00"/>
        <d v="2021-09-14T00:00:00"/>
        <d v="2021-09-13T00:00:00"/>
        <d v="2021-09-12T00:00:00"/>
        <d v="2021-09-11T00:00:00"/>
        <d v="2021-09-10T00:00:00"/>
        <d v="2021-09-09T00:00:00"/>
        <d v="2021-09-08T00:00:00"/>
        <d v="2021-09-07T00:00:00"/>
        <d v="2021-09-06T00:00:00"/>
        <d v="2021-09-05T00:00:00"/>
        <d v="2021-09-04T00:00:00"/>
        <d v="2021-09-03T00:00:00"/>
        <d v="2021-09-02T00:00:00"/>
        <d v="2021-09-01T00:00:00"/>
        <d v="2021-08-31T00:00:00"/>
        <d v="2021-08-30T00:00:00"/>
        <d v="2021-08-29T00:00:00"/>
        <d v="2021-08-28T00:00:00"/>
        <d v="2021-08-27T00:00:00"/>
        <d v="2021-08-26T00:00:00"/>
        <d v="2021-08-25T00:00:00"/>
        <d v="2021-08-24T00:00:00"/>
        <d v="2021-08-23T00:00:00"/>
        <d v="2021-08-22T00:00:00"/>
        <d v="2021-08-21T00:00:00"/>
        <d v="2021-08-20T00:00:00"/>
        <d v="2021-08-19T00:00:00"/>
        <d v="2021-08-18T00:00:00"/>
        <d v="2021-08-17T00:00:00"/>
        <d v="2021-08-16T00:00:00"/>
        <d v="2021-08-15T00:00:00"/>
        <d v="2021-08-14T00:00:00"/>
        <d v="2021-08-13T00:00:00"/>
        <d v="2021-08-12T00:00:00"/>
        <d v="2021-08-11T00:00:00"/>
        <d v="2021-08-10T00:00:00"/>
        <d v="2021-08-09T00:00:00"/>
        <d v="2021-08-08T00:00:00"/>
        <d v="2021-08-07T00:00:00"/>
        <d v="2021-08-06T00:00:00"/>
        <d v="2021-08-05T00:00:00"/>
        <d v="2021-08-04T00:00:00"/>
        <d v="2021-08-03T00:00:00"/>
        <d v="2021-08-02T00:00:00"/>
        <d v="2021-08-01T00:00:00"/>
        <d v="2021-07-31T00:00:00"/>
        <d v="2021-07-30T00:00:00"/>
        <d v="2021-07-29T00:00:00"/>
        <d v="2021-07-28T00:00:00"/>
        <d v="2021-07-27T00:00:00"/>
        <d v="2021-07-26T00:00:00"/>
        <d v="2021-07-25T00:00:00"/>
        <d v="2021-07-24T00:00:00"/>
        <d v="2021-07-23T00:00:00"/>
        <d v="2021-07-22T00:00:00"/>
        <d v="2021-07-21T00:00:00"/>
        <d v="2021-07-20T00:00:00"/>
        <d v="2021-07-19T00:00:00"/>
        <d v="2021-07-18T00:00:00"/>
        <d v="2021-07-17T00:00:00"/>
        <d v="2021-07-16T00:00:00"/>
        <d v="2021-07-15T00:00:00"/>
        <d v="2021-07-14T00:00:00"/>
        <d v="2021-07-13T00:00:00"/>
        <d v="2021-07-12T00:00:00"/>
        <d v="2021-07-11T00:00:00"/>
        <d v="2021-07-10T00:00:00"/>
        <d v="2021-07-09T00:00:00"/>
        <d v="2021-07-08T00:00:00"/>
        <d v="2021-07-07T00:00:00"/>
        <d v="2021-07-06T00:00:00"/>
        <d v="2021-07-05T00:00:00"/>
        <d v="2021-07-04T00:00:00"/>
        <d v="2021-07-03T00:00:00"/>
        <d v="2021-07-02T00:00:00"/>
        <d v="2021-07-01T00:00:00"/>
        <d v="2021-06-30T00:00:00"/>
        <d v="2021-06-29T00:00:00"/>
        <d v="2021-06-28T00:00:00"/>
        <d v="2021-06-27T00:00:00"/>
        <d v="2021-06-26T00:00:00"/>
        <d v="2021-06-25T00:00:00"/>
        <d v="2021-06-24T00:00:00"/>
        <d v="2021-06-23T00:00:00"/>
        <d v="2021-06-22T00:00:00"/>
        <d v="2021-06-21T00:00:00"/>
        <d v="2021-06-20T00:00:00"/>
        <d v="2021-06-19T00:00:00"/>
        <d v="2021-06-18T00:00:00"/>
        <d v="2021-06-17T00:00:00"/>
        <d v="2021-06-16T00:00:00"/>
        <d v="2021-06-15T00:00:00"/>
        <d v="2021-06-14T00:00:00"/>
        <d v="2021-06-13T00:00:00"/>
        <d v="2021-06-12T00:00:00"/>
        <d v="2021-06-11T00:00:00"/>
        <d v="2021-06-10T00:00:00"/>
        <d v="2021-06-09T00:00:00"/>
        <d v="2021-06-08T00:00:00"/>
        <d v="2021-06-07T00:00:00"/>
        <d v="2021-06-06T00:00:00"/>
        <d v="2021-06-05T00:00:00"/>
        <d v="2021-06-04T00:00:00"/>
        <d v="2021-06-03T00:00:00"/>
        <d v="2021-06-02T00:00:00"/>
        <d v="2021-06-01T00:00:00"/>
        <d v="2021-05-31T00:00:00"/>
        <d v="2021-05-30T00:00:00"/>
        <d v="2021-05-29T00:00:00"/>
        <d v="2021-05-28T00:00:00"/>
        <d v="2021-05-27T00:00:00"/>
        <d v="2021-05-26T00:00:00"/>
        <d v="2021-05-25T00:00:00"/>
        <d v="2021-05-24T00:00:00"/>
        <d v="2021-05-23T00:00:00"/>
        <d v="2021-05-22T00:00:00"/>
        <d v="2021-05-21T00:00:00"/>
        <d v="2021-05-20T00:00:00"/>
        <d v="2021-05-19T00:00:00"/>
        <d v="2021-05-18T00:00:00"/>
        <d v="2021-05-17T00:00:00"/>
        <d v="2021-05-16T00:00:00"/>
        <d v="2021-05-15T00:00:00"/>
        <d v="2021-05-14T00:00:00"/>
        <d v="2021-05-13T00:00:00"/>
        <d v="2021-05-12T00:00:00"/>
        <d v="2021-05-11T00:00:00"/>
        <d v="2021-05-10T00:00:00"/>
        <d v="2021-05-09T00:00:00"/>
        <d v="2021-05-08T00:00:00"/>
        <d v="2021-05-07T00:00:00"/>
        <d v="2021-05-06T00:00:00"/>
        <d v="2021-05-05T00:00:00"/>
        <d v="2021-05-04T00:00:00"/>
        <d v="2021-05-03T00:00:00"/>
        <d v="2021-05-02T00:00:00"/>
        <d v="2021-05-01T00:00:00"/>
        <d v="2021-04-30T00:00:00"/>
        <d v="2021-04-29T00:00:00"/>
        <d v="2021-04-28T00:00:00"/>
        <d v="2021-04-27T00:00:00"/>
        <d v="2021-04-26T00:00:00"/>
        <d v="2021-04-25T00:00:00"/>
        <d v="2021-04-24T00:00:00"/>
        <d v="2021-04-23T00:00:00"/>
        <d v="2021-04-22T00:00:00"/>
        <d v="2021-04-21T00:00:00"/>
        <d v="2021-04-20T00:00:00"/>
        <d v="2021-04-19T00:00:00"/>
        <d v="2021-04-18T00:00:00"/>
        <d v="2021-04-17T00:00:00"/>
        <d v="2021-04-16T00:00:00"/>
        <d v="2021-04-15T00:00:00"/>
        <d v="2021-04-14T00:00:00"/>
        <d v="2021-04-13T00:00:00"/>
        <d v="2021-04-12T00:00:00"/>
        <d v="2021-04-11T00:00:00"/>
        <d v="2021-04-10T00:00:00"/>
        <d v="2021-04-09T00:00:00"/>
        <d v="2021-04-08T00:00:00"/>
        <d v="2021-04-07T00:00:00"/>
        <d v="2021-04-06T00:00:00"/>
        <d v="2021-04-05T00:00:00"/>
        <d v="2021-04-04T00:00:00"/>
        <d v="2021-04-03T00:00:00"/>
        <d v="2021-04-02T00:00:00"/>
        <d v="2021-04-01T00:00:00"/>
        <d v="2021-03-31T00:00:00"/>
        <d v="2021-03-30T00:00:00"/>
        <d v="2021-03-29T00:00:00"/>
        <d v="2021-03-28T00:00:00"/>
        <d v="2021-03-27T00:00:00"/>
        <d v="2021-03-26T00:00:00"/>
        <d v="2021-03-25T00:00:00"/>
        <d v="2021-03-24T00:00:00"/>
        <d v="2021-03-23T00:00:00"/>
        <d v="2021-03-22T00:00:00"/>
        <d v="2021-03-21T00:00:00"/>
        <d v="2021-03-20T00:00:00"/>
        <d v="2021-03-19T00:00:00"/>
        <d v="2021-03-18T00:00:00"/>
        <d v="2021-03-17T00:00:00"/>
        <d v="2021-03-16T00:00:00"/>
        <d v="2021-03-15T00:00:00"/>
        <d v="2021-03-14T00:00:00"/>
        <d v="2021-03-13T00:00:00"/>
        <d v="2021-03-12T00:00:00"/>
        <d v="2021-03-11T00:00:00"/>
        <d v="2021-03-10T00:00:00"/>
        <d v="2021-03-09T00:00:00"/>
        <d v="2021-03-08T00:00:00"/>
        <d v="2021-03-07T00:00:00"/>
        <d v="2021-03-06T00:00:00"/>
        <d v="2021-03-05T00:00:00"/>
        <d v="2021-03-04T00:00:00"/>
        <d v="2021-03-03T00:00:00"/>
        <d v="2021-03-02T00:00:00"/>
        <d v="2021-03-01T00:00:00"/>
        <d v="2021-02-28T00:00:00"/>
        <d v="2021-02-27T00:00:00"/>
        <d v="2021-02-26T00:00:00"/>
        <d v="2021-02-25T00:00:00"/>
        <d v="2021-02-24T00:00:00"/>
        <d v="2021-02-23T00:00:00"/>
        <d v="2021-02-22T00:00:00"/>
        <d v="2021-02-21T00:00:00"/>
        <d v="2021-02-20T00:00:00"/>
        <d v="2021-02-19T00:00:00"/>
        <d v="2021-02-18T00:00:00"/>
        <d v="2021-02-17T00:00:00"/>
        <d v="2021-02-16T00:00:00"/>
        <d v="2021-02-15T00:00:00"/>
        <d v="2021-02-14T00:00:00"/>
        <d v="2021-02-13T00:00:00"/>
        <d v="2021-02-12T00:00:00"/>
        <d v="2021-02-11T00:00:00"/>
        <d v="2021-02-10T00:00:00"/>
        <d v="2021-02-09T00:00:00"/>
        <d v="2021-02-08T00:00:00"/>
        <d v="2021-02-07T00:00:00"/>
        <d v="2021-02-06T00:00:00"/>
        <d v="2021-02-05T00:00:00"/>
        <d v="2021-02-04T00:00:00"/>
        <d v="2021-02-03T00:00:00"/>
        <d v="2021-02-02T00:00:00"/>
        <d v="2021-02-01T00:00:00"/>
        <d v="2021-01-31T00:00:00"/>
        <d v="2021-01-30T00:00:00"/>
        <d v="2021-01-29T00:00:00"/>
        <d v="2021-01-28T00:00:00"/>
        <d v="2021-01-27T00:00:00"/>
        <d v="2021-01-26T00:00:00"/>
        <d v="2021-01-25T00:00:00"/>
        <d v="2021-01-24T00:00:00"/>
        <d v="2021-01-23T00:00:00"/>
        <d v="2021-01-22T00:00:00"/>
        <d v="2021-01-21T00:00:00"/>
        <d v="2021-01-20T00:00:00"/>
        <d v="2021-01-19T00:00:00"/>
        <d v="2021-01-18T00:00:00"/>
        <d v="2021-01-17T00:00:00"/>
        <d v="2021-01-16T00:00:00"/>
        <d v="2021-01-15T00:00:00"/>
        <d v="2021-01-14T00:00:00"/>
        <d v="2021-01-13T00:00:00"/>
        <d v="2021-01-12T00:00:00"/>
        <d v="2021-01-11T00:00:00"/>
        <d v="2021-01-10T00:00:00"/>
        <d v="2021-01-09T00:00:00"/>
        <d v="2021-01-08T00:00:00"/>
        <d v="2021-01-07T00:00:00"/>
        <d v="2021-01-06T00:00:00"/>
        <d v="2021-01-05T00:00:00"/>
        <d v="2021-01-04T00:00:00"/>
        <d v="2021-01-03T00:00:00"/>
        <d v="2021-01-02T00:00:00"/>
        <d v="2021-01-01T00:00:00"/>
        <d v="2020-12-31T00:00:00"/>
        <d v="2020-12-30T00:00:00"/>
        <d v="2020-12-29T00:00:00"/>
        <d v="2020-12-28T00:00:00"/>
        <d v="2020-12-27T00:00:00"/>
        <d v="2020-12-26T00:00:00"/>
        <d v="2020-12-25T00:00:00"/>
        <d v="2020-12-24T00:00:00"/>
        <d v="2020-12-23T00:00:00"/>
        <d v="2020-12-22T00:00:00"/>
        <d v="2020-12-21T00:00:00"/>
        <d v="2020-12-20T00:00:00"/>
        <d v="2020-12-19T00:00:00"/>
        <d v="2020-12-18T00:00:00"/>
        <d v="2020-12-17T00:00:00"/>
        <d v="2020-12-16T00:00:00"/>
        <d v="2020-12-15T00:00:00"/>
        <d v="2020-12-14T00:00:00"/>
        <d v="2020-12-13T00:00:00"/>
        <d v="2020-12-12T00:00:00"/>
        <d v="2020-12-11T00:00:00"/>
        <d v="2020-12-10T00:00:00"/>
        <d v="2020-12-09T00:00:00"/>
        <d v="2020-12-08T00:00:00"/>
        <d v="2020-12-07T00:00:00"/>
        <d v="2020-12-06T00:00:00"/>
        <d v="2020-12-05T00:00:00"/>
        <d v="2020-12-04T00:00:00"/>
        <d v="2020-12-03T00:00:00"/>
        <d v="2020-12-02T00:00:00"/>
        <d v="2020-12-01T00:00:00"/>
        <d v="2020-11-30T00:00:00"/>
        <d v="2020-11-29T00:00:00"/>
        <d v="2020-11-28T00:00:00"/>
        <d v="2020-11-27T00:00:00"/>
        <d v="2020-11-26T00:00:00"/>
        <d v="2020-11-25T00:00:00"/>
        <d v="2020-11-24T00:00:00"/>
        <d v="2020-11-23T00:00:00"/>
        <d v="2020-11-22T00:00:00"/>
        <d v="2020-11-21T00:00:00"/>
        <d v="2020-11-20T00:00:00"/>
        <d v="2020-11-19T00:00:00"/>
        <d v="2020-11-18T00:00:00"/>
        <d v="2020-11-17T00:00:00"/>
        <d v="2020-11-16T00:00:00"/>
        <d v="2020-11-15T00:00:00"/>
        <d v="2020-11-14T00:00:00"/>
        <d v="2020-11-13T00:00:00"/>
        <d v="2020-11-12T00:00:00"/>
        <d v="2020-11-11T00:00:00"/>
        <d v="2020-11-10T00:00:00"/>
        <d v="2020-11-09T00:00:00"/>
        <d v="2020-11-08T00:00:00"/>
        <d v="2020-11-07T00:00:00"/>
        <d v="2020-11-06T00:00:00"/>
        <d v="2020-11-05T00:00:00"/>
        <d v="2020-11-04T00:00:00"/>
        <d v="2020-11-03T00:00:00"/>
        <d v="2020-11-02T00:00:00"/>
        <d v="2020-11-01T00:00:00"/>
        <d v="2020-10-31T00:00:00"/>
        <d v="2020-10-30T00:00:00"/>
        <d v="2020-10-29T00:00:00"/>
        <d v="2020-10-28T00:00:00"/>
        <d v="2020-10-27T00:00:00"/>
        <d v="2020-10-26T00:00:00"/>
        <d v="2020-10-25T00:00:00"/>
        <d v="2020-10-24T00:00:00"/>
        <d v="2020-10-23T00:00:00"/>
        <d v="2020-10-22T00:00:00"/>
        <d v="2020-10-21T00:00:00"/>
        <d v="2020-10-20T00:00:00"/>
        <d v="2020-10-19T00:00:00"/>
        <d v="2020-10-18T00:00:00"/>
        <d v="2020-10-17T00:00:00"/>
        <d v="2020-10-16T00:00:00"/>
        <d v="2020-10-15T00:00:00"/>
        <d v="2020-10-14T00:00:00"/>
        <d v="2020-10-13T00:00:00"/>
        <d v="2020-10-12T00:00:00"/>
        <d v="2020-10-11T00:00:00"/>
        <d v="2020-10-10T00:00:00"/>
        <d v="2020-10-09T00:00:00"/>
        <d v="2020-10-08T00:00:00"/>
        <d v="2020-10-07T00:00:00"/>
        <d v="2020-10-06T00:00:00"/>
        <d v="2020-10-05T00:00:00"/>
        <d v="2020-10-04T00:00:00"/>
        <d v="2020-10-03T00:00:00"/>
        <d v="2020-10-02T00:00:00"/>
        <d v="2020-10-01T00:00:00"/>
        <d v="2020-09-30T00:00:00"/>
        <d v="2020-09-29T00:00:00"/>
        <d v="2020-09-28T00:00:00"/>
        <d v="2020-09-27T00:00:00"/>
        <d v="2020-09-26T00:00:00"/>
        <d v="2020-09-25T00:00:00"/>
        <d v="2020-09-24T00:00:00"/>
        <d v="2020-09-23T00:00:00"/>
        <d v="2020-09-22T00:00:00"/>
        <d v="2020-09-21T00:00:00"/>
        <d v="2020-09-20T00:00:00"/>
        <d v="2020-09-19T00:00:00"/>
        <d v="2020-09-18T00:00:00"/>
        <d v="2020-09-17T00:00:00"/>
        <d v="2020-09-16T00:00:00"/>
        <d v="2020-09-15T00:00:00"/>
        <d v="2020-09-14T00:00:00"/>
        <d v="2020-09-13T00:00:00"/>
        <d v="2020-09-12T00:00:00"/>
        <d v="2020-09-11T00:00:00"/>
        <d v="2020-09-10T00:00:00"/>
        <d v="2020-09-09T00:00:00"/>
        <d v="2020-09-08T00:00:00"/>
        <d v="2020-09-07T00:00:00"/>
        <d v="2020-09-06T00:00:00"/>
        <d v="2020-09-05T00:00:00"/>
        <d v="2020-09-04T00:00:00"/>
        <d v="2020-09-03T00:00:00"/>
        <d v="2020-09-02T00:00:00"/>
        <d v="2020-09-01T00:00:00"/>
        <d v="2020-08-31T00:00:00"/>
        <d v="2020-08-30T00:00:00"/>
        <d v="2020-08-29T00:00:00"/>
        <d v="2020-08-28T00:00:00"/>
        <d v="2020-08-27T00:00:00"/>
        <d v="2020-08-26T00:00:00"/>
        <d v="2020-08-25T00:00:00"/>
        <d v="2020-08-24T00:00:00"/>
        <d v="2020-08-23T00:00:00"/>
        <d v="2020-08-22T00:00:00"/>
        <d v="2020-08-21T00:00:00"/>
        <d v="2020-08-20T00:00:00"/>
        <d v="2020-08-19T00:00:00"/>
        <d v="2020-08-18T00:00:00"/>
        <d v="2020-08-17T00:00:00"/>
        <d v="2020-08-16T00:00:00"/>
        <d v="2020-08-15T00:00:00"/>
        <d v="2020-08-14T00:00:00"/>
        <d v="2020-08-13T00:00:00"/>
        <d v="2020-08-12T00:00:00"/>
        <d v="2020-08-11T00:00:00"/>
        <d v="2020-08-10T00:00:00"/>
        <d v="2020-08-09T00:00:00"/>
        <d v="2020-08-08T00:00:00"/>
        <d v="2020-08-07T00:00:00"/>
        <d v="2020-08-06T00:00:00"/>
        <d v="2020-08-05T00:00:00"/>
        <d v="2020-08-04T00:00:00"/>
        <d v="2020-08-03T00:00:00"/>
        <d v="2020-08-02T00:00:00"/>
        <d v="2020-08-01T00:00:00"/>
        <d v="2020-07-31T00:00:00"/>
        <d v="2020-07-30T00:00:00"/>
        <d v="2020-07-29T00:00:00"/>
        <d v="2020-07-28T00:00:00"/>
        <d v="2020-07-27T00:00:00"/>
        <d v="2020-07-26T00:00:00"/>
        <d v="2020-07-25T00:00:00"/>
        <d v="2020-07-24T00:00:00"/>
        <d v="2020-07-23T00:00:00"/>
        <d v="2020-07-22T00:00:00"/>
        <d v="2020-07-21T00:00:00"/>
        <d v="2020-07-20T00:00:00"/>
        <d v="2020-07-19T00:00:00"/>
        <d v="2020-07-18T00:00:00"/>
        <d v="2020-07-17T00:00:00"/>
        <d v="2020-07-16T00:00:00"/>
        <d v="2020-07-15T00:00:00"/>
        <d v="2020-07-14T00:00:00"/>
        <d v="2020-07-13T00:00:00"/>
        <d v="2020-07-12T00:00:00"/>
        <d v="2020-07-11T00:00:00"/>
        <d v="2020-07-10T00:00:00"/>
        <d v="2020-07-09T00:00:00"/>
        <d v="2020-07-08T00:00:00"/>
        <d v="2020-07-07T00:00:00"/>
        <d v="2020-07-06T00:00:00"/>
        <d v="2020-07-05T00:00:00"/>
        <d v="2020-07-04T00:00:00"/>
        <d v="2020-07-03T00:00:00"/>
        <d v="2020-07-02T00:00:00"/>
        <d v="2020-07-01T00:00:00"/>
        <d v="2020-06-30T00:00:00"/>
        <d v="2020-06-29T00:00:00"/>
        <d v="2020-06-28T00:00:00"/>
        <d v="2020-06-27T00:00:00"/>
        <d v="2020-06-26T00:00:00"/>
        <d v="2020-06-25T00:00:00"/>
        <d v="2020-06-24T00:00:00"/>
        <d v="2020-06-23T00:00:00"/>
        <d v="2020-06-22T00:00:00"/>
        <d v="2020-06-21T00:00:00"/>
        <d v="2020-06-20T00:00:00"/>
        <d v="2020-06-19T00:00:00"/>
        <d v="2020-06-18T00:00:00"/>
        <d v="2020-06-17T00:00:00"/>
        <d v="2020-06-16T00:00:00"/>
        <d v="2020-06-15T00:00:00"/>
        <d v="2020-06-14T00:00:00"/>
        <d v="2020-06-13T00:00:00"/>
        <d v="2020-06-12T00:00:00"/>
        <d v="2020-06-11T00:00:00"/>
        <d v="2020-06-10T00:00:00"/>
        <d v="2020-06-09T00:00:00"/>
        <d v="2020-06-08T00:00:00"/>
        <d v="2020-06-06T00:00:00"/>
        <d v="2020-06-05T00:00:00"/>
        <d v="2020-06-04T00:00:00"/>
        <d v="2020-06-03T00:00:00"/>
        <d v="2020-06-02T00:00:00"/>
        <d v="2020-06-01T00:00:00"/>
        <d v="2020-05-31T00:00:00"/>
        <d v="2020-05-30T00:00:00"/>
        <d v="2020-05-29T00:00:00"/>
        <d v="2020-05-28T00:00:00"/>
        <d v="2020-05-27T00:00:00"/>
        <d v="2020-05-26T00:00:00"/>
        <d v="2020-05-25T00:00:00"/>
        <d v="2020-05-24T00:00:00"/>
        <d v="2020-05-23T00:00:00"/>
        <d v="2020-05-22T00:00:00"/>
        <d v="2020-05-21T00:00:00"/>
        <d v="2020-05-20T00:00:00"/>
        <d v="2020-05-19T00:00:00"/>
        <d v="2020-05-18T00:00:00"/>
        <d v="2020-05-17T00:00:00"/>
        <d v="2020-05-16T00:00:00"/>
        <d v="2020-05-15T00:00:00"/>
        <d v="2020-05-14T00:00:00"/>
        <d v="2020-05-13T00:00:00"/>
        <d v="2020-05-12T00:00:00"/>
        <d v="2020-05-11T00:00:00"/>
        <d v="2020-05-10T00:00:00"/>
        <d v="2020-05-09T00:00:00"/>
        <d v="2020-05-08T00:00:00"/>
        <d v="2020-05-07T00:00:00"/>
        <d v="2020-05-06T00:00:00"/>
        <d v="2020-05-05T00:00:00"/>
        <d v="2020-05-04T00:00:00"/>
        <d v="2020-05-03T00:00:00"/>
        <d v="2020-05-02T00:00:00"/>
        <d v="2020-05-01T00:00:00"/>
        <d v="2020-04-30T00:00:00"/>
        <d v="2020-04-29T00:00:00"/>
        <d v="2020-04-28T00:00:00"/>
        <d v="2020-04-27T00:00:00"/>
        <d v="2020-04-26T00:00:00"/>
        <d v="2020-04-25T00:00:00"/>
        <d v="2020-04-24T00:00:00"/>
        <d v="2020-04-23T00:00:00"/>
        <d v="2020-04-22T00:00:00"/>
        <d v="2020-04-21T00:00:00"/>
        <d v="2020-04-20T00:00:00"/>
        <d v="2020-04-19T00:00:00"/>
        <d v="2020-04-18T00:00:00"/>
        <d v="2020-04-17T00:00:00"/>
        <d v="2020-04-16T00:00:00"/>
        <d v="2020-04-15T00:00:00"/>
        <d v="2020-04-14T00:00:00"/>
        <d v="2020-04-13T00:00:00"/>
        <d v="2020-04-12T00:00:00"/>
        <d v="2020-04-11T00:00:00"/>
        <d v="2020-04-10T00:00:00"/>
        <d v="2020-04-09T00:00:00"/>
        <d v="2020-04-08T00:00:00"/>
        <d v="2020-04-07T00:00:00"/>
        <d v="2020-04-06T00:00:00"/>
        <d v="2020-04-05T00:00:00"/>
        <d v="2020-04-04T00:00:00"/>
        <d v="2020-04-03T00:00:00"/>
        <d v="2020-04-02T00:00:00"/>
        <d v="2020-04-01T00:00:00"/>
        <d v="2020-03-31T00:00:00"/>
        <d v="2020-03-30T00:00:00"/>
        <d v="2020-03-29T00:00:00"/>
        <d v="2020-03-28T00:00:00"/>
        <d v="2020-03-27T00:00:00"/>
        <d v="2020-03-26T00:00:00"/>
        <d v="2020-03-25T00:00:00"/>
        <d v="2020-03-24T00:00:00"/>
        <d v="2020-03-23T00:00:00"/>
        <d v="2020-03-22T00:00:00"/>
        <d v="2020-03-21T00:00:00"/>
        <d v="2020-03-20T00:00:00"/>
      </sharedItems>
      <fieldGroup par="3" base="0">
        <rangePr groupBy="months" startDate="2020-03-20T00:00:00" endDate="2025-06-07T00:00:00"/>
        <groupItems count="14">
          <s v="&lt;20/03/2020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7/06/2025"/>
        </groupItems>
      </fieldGroup>
    </cacheField>
    <cacheField name="MEP" numFmtId="0">
      <sharedItems containsSemiMixedTypes="0" containsString="0" containsNumber="1" minValue="83.2" maxValue="1428.46"/>
    </cacheField>
    <cacheField name="Trimestres" numFmtId="0" databaseField="0">
      <fieldGroup base="0">
        <rangePr groupBy="quarters" startDate="2020-03-20T00:00:00" endDate="2025-06-07T00:00:00"/>
        <groupItems count="6">
          <s v="&lt;20/03/2020"/>
          <s v="Trim.1"/>
          <s v="Trim.2"/>
          <s v="Trim.3"/>
          <s v="Trim.4"/>
          <s v="&gt;07/06/2025"/>
        </groupItems>
      </fieldGroup>
    </cacheField>
    <cacheField name="Años" numFmtId="0" databaseField="0">
      <fieldGroup base="0">
        <rangePr groupBy="years" startDate="2020-03-20T00:00:00" endDate="2025-06-07T00:00:00"/>
        <groupItems count="8">
          <s v="&lt;20/03/2020"/>
          <s v="2020"/>
          <s v="2021"/>
          <s v="2022"/>
          <s v="2023"/>
          <s v="2024"/>
          <s v="2025"/>
          <s v="&gt;07/06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 Camus" refreshedDate="45823.902216898146" createdVersion="7" refreshedVersion="7" minRefreshableVersion="3" recordCount="20" xr:uid="{CC1DE7A1-5457-4EDD-B2A2-8C59E6B47A2D}">
  <cacheSource type="worksheet">
    <worksheetSource ref="AD4:AE24" sheet="Base"/>
  </cacheSource>
  <cacheFields count="4">
    <cacheField name="Fecha" numFmtId="14">
      <sharedItems containsSemiMixedTypes="0" containsNonDate="0" containsDate="1" containsString="0" minDate="2020-04-01T00:00:00" maxDate="2024-12-02T00:00:00" count="20">
        <d v="2020-04-01T00:00:00"/>
        <d v="2020-07-01T00:00:00"/>
        <d v="2020-10-01T00:00:00"/>
        <d v="2020-12-01T00:00:00"/>
        <d v="2021-04-01T00:00:00"/>
        <d v="2021-07-01T00:00:00"/>
        <d v="2021-10-01T00:00:00"/>
        <d v="2021-12-01T00:00:00"/>
        <d v="2022-04-01T00:00:00"/>
        <d v="2022-07-01T00:00:00"/>
        <d v="2022-10-01T00:00:00"/>
        <d v="2022-12-01T00:00:00"/>
        <d v="2023-04-01T00:00:00"/>
        <d v="2023-07-01T00:00:00"/>
        <d v="2023-10-01T00:00:00"/>
        <d v="2023-12-01T00:00:00"/>
        <d v="2024-04-01T00:00:00"/>
        <d v="2024-07-01T00:00:00"/>
        <d v="2024-10-01T00:00:00"/>
        <d v="2024-12-01T00:00:00"/>
      </sharedItems>
      <fieldGroup par="3" base="0">
        <rangePr groupBy="months" startDate="2020-04-01T00:00:00" endDate="2024-12-02T00:00:00"/>
        <groupItems count="14">
          <s v="&lt;01/04/2020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2/12/2024"/>
        </groupItems>
      </fieldGroup>
    </cacheField>
    <cacheField name="PBI cte a pesos 2004" numFmtId="3">
      <sharedItems containsSemiMixedTypes="0" containsString="0" containsNumber="1" minValue="609379.98946480127" maxValue="774238.2057146536"/>
    </cacheField>
    <cacheField name="Trimestres" numFmtId="0" databaseField="0">
      <fieldGroup base="0">
        <rangePr groupBy="quarters" startDate="2020-04-01T00:00:00" endDate="2024-12-02T00:00:00"/>
        <groupItems count="6">
          <s v="&lt;01/04/2020"/>
          <s v="Trim.1"/>
          <s v="Trim.2"/>
          <s v="Trim.3"/>
          <s v="Trim.4"/>
          <s v="&gt;02/12/2024"/>
        </groupItems>
      </fieldGroup>
    </cacheField>
    <cacheField name="Años" numFmtId="0" databaseField="0">
      <fieldGroup base="0">
        <rangePr groupBy="years" startDate="2020-04-01T00:00:00" endDate="2024-12-02T00:00:00"/>
        <groupItems count="7">
          <s v="&lt;01/04/2020"/>
          <s v="2020"/>
          <s v="2021"/>
          <s v="2022"/>
          <s v="2023"/>
          <s v="2024"/>
          <s v="&gt;02/12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7">
  <r>
    <x v="0"/>
    <n v="1192.4000000000001"/>
  </r>
  <r>
    <x v="1"/>
    <n v="1192.3800000000001"/>
  </r>
  <r>
    <x v="2"/>
    <n v="1193.22"/>
  </r>
  <r>
    <x v="3"/>
    <n v="1189.67"/>
  </r>
  <r>
    <x v="4"/>
    <n v="1183.78"/>
  </r>
  <r>
    <x v="5"/>
    <n v="1191.72"/>
  </r>
  <r>
    <x v="6"/>
    <n v="1181.9000000000001"/>
  </r>
  <r>
    <x v="7"/>
    <n v="1164.8"/>
  </r>
  <r>
    <x v="8"/>
    <n v="1161.3"/>
  </r>
  <r>
    <x v="9"/>
    <n v="1145.42"/>
  </r>
  <r>
    <x v="10"/>
    <n v="1143.32"/>
  </r>
  <r>
    <x v="11"/>
    <n v="1143.49"/>
  </r>
  <r>
    <x v="12"/>
    <n v="1148.8"/>
  </r>
  <r>
    <x v="13"/>
    <n v="1153.33"/>
  </r>
  <r>
    <x v="14"/>
    <n v="1148.77"/>
  </r>
  <r>
    <x v="15"/>
    <n v="1155.1199999999999"/>
  </r>
  <r>
    <x v="16"/>
    <n v="1140.92"/>
  </r>
  <r>
    <x v="17"/>
    <n v="1140.92"/>
  </r>
  <r>
    <x v="18"/>
    <n v="1140.92"/>
  </r>
  <r>
    <x v="19"/>
    <n v="1141.2"/>
  </r>
  <r>
    <x v="20"/>
    <n v="1144.1099999999999"/>
  </r>
  <r>
    <x v="21"/>
    <n v="1143.32"/>
  </r>
  <r>
    <x v="22"/>
    <n v="1156.07"/>
  </r>
  <r>
    <x v="23"/>
    <n v="1199.6099999999999"/>
  </r>
  <r>
    <x v="24"/>
    <n v="1202.92"/>
  </r>
  <r>
    <x v="25"/>
    <n v="1183.3699999999999"/>
  </r>
  <r>
    <x v="26"/>
    <n v="1183.3699999999999"/>
  </r>
  <r>
    <x v="27"/>
    <n v="1183.3699999999999"/>
  </r>
  <r>
    <x v="28"/>
    <n v="1173.1500000000001"/>
  </r>
  <r>
    <x v="29"/>
    <n v="1176.55"/>
  </r>
  <r>
    <x v="30"/>
    <n v="1184.24"/>
  </r>
  <r>
    <x v="31"/>
    <n v="1186.53"/>
  </r>
  <r>
    <x v="32"/>
    <n v="1168"/>
  </r>
  <r>
    <x v="33"/>
    <n v="1140.3800000000001"/>
  </r>
  <r>
    <x v="34"/>
    <n v="1122.08"/>
  </r>
  <r>
    <x v="35"/>
    <n v="1165.93"/>
  </r>
  <r>
    <x v="36"/>
    <n v="1165.93"/>
  </r>
  <r>
    <x v="37"/>
    <n v="1165.93"/>
  </r>
  <r>
    <x v="38"/>
    <n v="1237.9000000000001"/>
  </r>
  <r>
    <x v="39"/>
    <n v="1253.4000000000001"/>
  </r>
  <r>
    <x v="40"/>
    <n v="1333.33"/>
  </r>
  <r>
    <x v="41"/>
    <n v="1364.01"/>
  </r>
  <r>
    <x v="42"/>
    <n v="1341.72"/>
  </r>
  <r>
    <x v="43"/>
    <n v="1376.58"/>
  </r>
  <r>
    <x v="44"/>
    <n v="1370.35"/>
  </r>
  <r>
    <x v="45"/>
    <n v="1340.44"/>
  </r>
  <r>
    <x v="46"/>
    <n v="1319.42"/>
  </r>
  <r>
    <x v="47"/>
    <n v="1314.47"/>
  </r>
  <r>
    <x v="48"/>
    <n v="1314.47"/>
  </r>
  <r>
    <x v="49"/>
    <n v="1313.97"/>
  </r>
  <r>
    <x v="50"/>
    <n v="1302.44"/>
  </r>
  <r>
    <x v="51"/>
    <n v="1292.29"/>
  </r>
  <r>
    <x v="52"/>
    <n v="1295.6300000000001"/>
  </r>
  <r>
    <x v="53"/>
    <n v="1294.3"/>
  </r>
  <r>
    <x v="54"/>
    <n v="1287.22"/>
  </r>
  <r>
    <x v="55"/>
    <n v="1287.22"/>
  </r>
  <r>
    <x v="56"/>
    <n v="1287.5899999999999"/>
  </r>
  <r>
    <x v="57"/>
    <n v="1286.3800000000001"/>
  </r>
  <r>
    <x v="58"/>
    <n v="1299.32"/>
  </r>
  <r>
    <x v="59"/>
    <n v="1250.5899999999999"/>
  </r>
  <r>
    <x v="60"/>
    <n v="1237.78"/>
  </r>
  <r>
    <x v="61"/>
    <n v="1233.55"/>
  </r>
  <r>
    <x v="62"/>
    <n v="1229.3399999999999"/>
  </r>
  <r>
    <x v="63"/>
    <n v="1230.3800000000001"/>
  </r>
  <r>
    <x v="64"/>
    <n v="1228.92"/>
  </r>
  <r>
    <x v="65"/>
    <n v="1221.93"/>
  </r>
  <r>
    <x v="66"/>
    <n v="1237.8599999999999"/>
  </r>
  <r>
    <x v="67"/>
    <n v="1235.31"/>
  </r>
  <r>
    <x v="68"/>
    <n v="1228.48"/>
  </r>
  <r>
    <x v="69"/>
    <n v="1228.48"/>
  </r>
  <r>
    <x v="70"/>
    <n v="1228.48"/>
  </r>
  <r>
    <x v="71"/>
    <n v="1215.29"/>
  </r>
  <r>
    <x v="72"/>
    <n v="1211.56"/>
  </r>
  <r>
    <x v="73"/>
    <n v="1211.96"/>
  </r>
  <r>
    <x v="74"/>
    <n v="1207.48"/>
  </r>
  <r>
    <x v="75"/>
    <n v="1205.8800000000001"/>
  </r>
  <r>
    <x v="76"/>
    <n v="1206.06"/>
  </r>
  <r>
    <x v="77"/>
    <n v="1201.8599999999999"/>
  </r>
  <r>
    <x v="78"/>
    <n v="1203.1600000000001"/>
  </r>
  <r>
    <x v="79"/>
    <n v="1210.0899999999999"/>
  </r>
  <r>
    <x v="80"/>
    <n v="1183.8800000000001"/>
  </r>
  <r>
    <x v="81"/>
    <n v="1187.8900000000001"/>
  </r>
  <r>
    <x v="82"/>
    <n v="1186.3499999999999"/>
  </r>
  <r>
    <x v="83"/>
    <n v="1180.8499999999999"/>
  </r>
  <r>
    <x v="84"/>
    <n v="1184.07"/>
  </r>
  <r>
    <x v="85"/>
    <n v="1194.47"/>
  </r>
  <r>
    <x v="86"/>
    <n v="1189.03"/>
  </r>
  <r>
    <x v="87"/>
    <n v="1191.94"/>
  </r>
  <r>
    <x v="88"/>
    <n v="1188"/>
  </r>
  <r>
    <x v="89"/>
    <n v="1178.82"/>
  </r>
  <r>
    <x v="90"/>
    <n v="1164.79"/>
  </r>
  <r>
    <x v="91"/>
    <n v="1164.8900000000001"/>
  </r>
  <r>
    <x v="92"/>
    <n v="1163.3599999999999"/>
  </r>
  <r>
    <x v="93"/>
    <n v="1161.3800000000001"/>
  </r>
  <r>
    <x v="94"/>
    <n v="1162.22"/>
  </r>
  <r>
    <x v="95"/>
    <n v="1155.75"/>
  </r>
  <r>
    <x v="96"/>
    <n v="1167.3499999999999"/>
  </r>
  <r>
    <x v="97"/>
    <n v="1172.67"/>
  </r>
  <r>
    <x v="98"/>
    <n v="1167.6099999999999"/>
  </r>
  <r>
    <x v="99"/>
    <n v="1165.9000000000001"/>
  </r>
  <r>
    <x v="100"/>
    <n v="1165.8399999999999"/>
  </r>
  <r>
    <x v="101"/>
    <n v="1166.03"/>
  </r>
  <r>
    <x v="102"/>
    <n v="1164.05"/>
  </r>
  <r>
    <x v="103"/>
    <n v="1162.93"/>
  </r>
  <r>
    <x v="104"/>
    <n v="1163.21"/>
  </r>
  <r>
    <x v="105"/>
    <n v="1164.01"/>
  </r>
  <r>
    <x v="106"/>
    <n v="1164.19"/>
  </r>
  <r>
    <x v="107"/>
    <n v="1164.72"/>
  </r>
  <r>
    <x v="108"/>
    <n v="1164.3699999999999"/>
  </r>
  <r>
    <x v="109"/>
    <n v="1165.0899999999999"/>
  </r>
  <r>
    <x v="110"/>
    <n v="1165.8800000000001"/>
  </r>
  <r>
    <x v="111"/>
    <n v="1162.1199999999999"/>
  </r>
  <r>
    <x v="112"/>
    <n v="1170.4100000000001"/>
  </r>
  <r>
    <x v="113"/>
    <n v="1170.4100000000001"/>
  </r>
  <r>
    <x v="114"/>
    <n v="1170.4100000000001"/>
  </r>
  <r>
    <x v="115"/>
    <n v="1170.56"/>
  </r>
  <r>
    <x v="116"/>
    <n v="1170.8900000000001"/>
  </r>
  <r>
    <x v="117"/>
    <n v="1160.97"/>
  </r>
  <r>
    <x v="118"/>
    <n v="1160.97"/>
  </r>
  <r>
    <x v="119"/>
    <n v="1162.3"/>
  </r>
  <r>
    <x v="120"/>
    <n v="1142.2"/>
  </r>
  <r>
    <x v="121"/>
    <n v="1131.19"/>
  </r>
  <r>
    <x v="122"/>
    <n v="1131.22"/>
  </r>
  <r>
    <x v="123"/>
    <n v="1145.26"/>
  </r>
  <r>
    <x v="124"/>
    <n v="1100.27"/>
  </r>
  <r>
    <x v="125"/>
    <n v="1073.08"/>
  </r>
  <r>
    <x v="126"/>
    <n v="1058.21"/>
  </r>
  <r>
    <x v="127"/>
    <n v="1057.72"/>
  </r>
  <r>
    <x v="128"/>
    <n v="1060.52"/>
  </r>
  <r>
    <x v="129"/>
    <n v="1049.31"/>
  </r>
  <r>
    <x v="130"/>
    <n v="1049.33"/>
  </r>
  <r>
    <x v="131"/>
    <n v="1062.1600000000001"/>
  </r>
  <r>
    <x v="132"/>
    <n v="1076.3399999999999"/>
  </r>
  <r>
    <x v="133"/>
    <n v="1075.6500000000001"/>
  </r>
  <r>
    <x v="134"/>
    <n v="1068.8900000000001"/>
  </r>
  <r>
    <x v="135"/>
    <n v="1075.76"/>
  </r>
  <r>
    <x v="136"/>
    <n v="1075.1500000000001"/>
  </r>
  <r>
    <x v="137"/>
    <n v="1074.6099999999999"/>
  </r>
  <r>
    <x v="138"/>
    <n v="1076.1199999999999"/>
  </r>
  <r>
    <x v="139"/>
    <n v="1077.58"/>
  </r>
  <r>
    <x v="140"/>
    <n v="1080.4000000000001"/>
  </r>
  <r>
    <x v="141"/>
    <n v="1078.95"/>
  </r>
  <r>
    <x v="142"/>
    <n v="1074.8599999999999"/>
  </r>
  <r>
    <x v="143"/>
    <n v="1075.1199999999999"/>
  </r>
  <r>
    <x v="144"/>
    <n v="1096.02"/>
  </r>
  <r>
    <x v="145"/>
    <n v="1096.02"/>
  </r>
  <r>
    <x v="146"/>
    <n v="1105.75"/>
  </r>
  <r>
    <x v="147"/>
    <n v="1121.1099999999999"/>
  </r>
  <r>
    <x v="148"/>
    <n v="1124.4000000000001"/>
  </r>
  <r>
    <x v="149"/>
    <n v="1131.23"/>
  </r>
  <r>
    <x v="150"/>
    <n v="1130.2"/>
  </r>
  <r>
    <x v="151"/>
    <n v="1135.99"/>
  </r>
  <r>
    <x v="152"/>
    <n v="1145.69"/>
  </r>
  <r>
    <x v="153"/>
    <n v="1153.5"/>
  </r>
  <r>
    <x v="154"/>
    <n v="1151.54"/>
  </r>
  <r>
    <x v="155"/>
    <n v="1146.17"/>
  </r>
  <r>
    <x v="156"/>
    <n v="1131.46"/>
  </r>
  <r>
    <x v="157"/>
    <n v="1138.32"/>
  </r>
  <r>
    <x v="158"/>
    <n v="1138.18"/>
  </r>
  <r>
    <x v="159"/>
    <n v="1134.18"/>
  </r>
  <r>
    <x v="160"/>
    <n v="1141.81"/>
  </r>
  <r>
    <x v="161"/>
    <n v="1160"/>
  </r>
  <r>
    <x v="162"/>
    <n v="1161.99"/>
  </r>
  <r>
    <x v="163"/>
    <n v="1161.97"/>
  </r>
  <r>
    <x v="164"/>
    <n v="1167.9100000000001"/>
  </r>
  <r>
    <x v="165"/>
    <n v="1159.05"/>
  </r>
  <r>
    <x v="166"/>
    <n v="1159.5999999999999"/>
  </r>
  <r>
    <x v="167"/>
    <n v="1159.8900000000001"/>
  </r>
  <r>
    <x v="168"/>
    <n v="1139.9100000000001"/>
  </r>
  <r>
    <x v="169"/>
    <n v="1143.8800000000001"/>
  </r>
  <r>
    <x v="170"/>
    <n v="1134.8399999999999"/>
  </r>
  <r>
    <x v="171"/>
    <n v="1134.8399999999999"/>
  </r>
  <r>
    <x v="172"/>
    <n v="1147.4000000000001"/>
  </r>
  <r>
    <x v="173"/>
    <n v="1169.54"/>
  </r>
  <r>
    <x v="174"/>
    <n v="1184.07"/>
  </r>
  <r>
    <x v="175"/>
    <n v="1187.52"/>
  </r>
  <r>
    <x v="176"/>
    <n v="1191.74"/>
  </r>
  <r>
    <x v="177"/>
    <n v="1207.51"/>
  </r>
  <r>
    <x v="178"/>
    <n v="1220.07"/>
  </r>
  <r>
    <x v="179"/>
    <n v="1215.03"/>
  </r>
  <r>
    <x v="180"/>
    <n v="1207.75"/>
  </r>
  <r>
    <x v="181"/>
    <n v="1210.95"/>
  </r>
  <r>
    <x v="182"/>
    <n v="1209.79"/>
  </r>
  <r>
    <x v="183"/>
    <n v="1202.1300000000001"/>
  </r>
  <r>
    <x v="184"/>
    <n v="1204.57"/>
  </r>
  <r>
    <x v="185"/>
    <n v="1200.0999999999999"/>
  </r>
  <r>
    <x v="186"/>
    <n v="1197.74"/>
  </r>
  <r>
    <x v="187"/>
    <n v="1206.72"/>
  </r>
  <r>
    <x v="188"/>
    <n v="1214.04"/>
  </r>
  <r>
    <x v="189"/>
    <n v="1215.72"/>
  </r>
  <r>
    <x v="190"/>
    <n v="1226.53"/>
  </r>
  <r>
    <x v="191"/>
    <n v="1239.48"/>
  </r>
  <r>
    <x v="192"/>
    <n v="1230.1600000000001"/>
  </r>
  <r>
    <x v="193"/>
    <n v="1230.44"/>
  </r>
  <r>
    <x v="194"/>
    <n v="1226.42"/>
  </r>
  <r>
    <x v="195"/>
    <n v="1243.8699999999999"/>
  </r>
  <r>
    <x v="196"/>
    <n v="1258.82"/>
  </r>
  <r>
    <x v="197"/>
    <n v="1279.8399999999999"/>
  </r>
  <r>
    <x v="198"/>
    <n v="1294.46"/>
  </r>
  <r>
    <x v="199"/>
    <n v="1285.01"/>
  </r>
  <r>
    <x v="200"/>
    <n v="1279.96"/>
  </r>
  <r>
    <x v="201"/>
    <n v="1271.33"/>
  </r>
  <r>
    <x v="202"/>
    <n v="1282.19"/>
  </r>
  <r>
    <x v="203"/>
    <n v="1286.19"/>
  </r>
  <r>
    <x v="204"/>
    <n v="1288.25"/>
  </r>
  <r>
    <x v="205"/>
    <n v="1282.7"/>
  </r>
  <r>
    <x v="206"/>
    <n v="1283.23"/>
  </r>
  <r>
    <x v="207"/>
    <n v="1291.75"/>
  </r>
  <r>
    <x v="208"/>
    <n v="1287.82"/>
  </r>
  <r>
    <x v="209"/>
    <n v="1290.0999999999999"/>
  </r>
  <r>
    <x v="210"/>
    <n v="1295.3"/>
  </r>
  <r>
    <x v="211"/>
    <n v="1276.21"/>
  </r>
  <r>
    <x v="212"/>
    <n v="1268.81"/>
  </r>
  <r>
    <x v="213"/>
    <n v="1272.49"/>
  </r>
  <r>
    <x v="214"/>
    <n v="1284.3499999999999"/>
  </r>
  <r>
    <x v="215"/>
    <n v="1298.27"/>
  </r>
  <r>
    <x v="216"/>
    <n v="1310.45"/>
  </r>
  <r>
    <x v="217"/>
    <n v="1331.95"/>
  </r>
  <r>
    <x v="218"/>
    <n v="1336.4"/>
  </r>
  <r>
    <x v="219"/>
    <n v="1346.09"/>
  </r>
  <r>
    <x v="220"/>
    <n v="1334.04"/>
  </r>
  <r>
    <x v="221"/>
    <n v="1300.1400000000001"/>
  </r>
  <r>
    <x v="222"/>
    <n v="1293.33"/>
  </r>
  <r>
    <x v="223"/>
    <n v="1267.95"/>
  </r>
  <r>
    <x v="224"/>
    <n v="1296.57"/>
  </r>
  <r>
    <x v="225"/>
    <n v="1323.15"/>
  </r>
  <r>
    <x v="226"/>
    <n v="1332.77"/>
  </r>
  <r>
    <x v="227"/>
    <n v="1337.51"/>
  </r>
  <r>
    <x v="228"/>
    <n v="1324.96"/>
  </r>
  <r>
    <x v="229"/>
    <n v="1333.37"/>
  </r>
  <r>
    <x v="230"/>
    <n v="1331.7"/>
  </r>
  <r>
    <x v="231"/>
    <n v="1315.29"/>
  </r>
  <r>
    <x v="232"/>
    <n v="1300"/>
  </r>
  <r>
    <x v="233"/>
    <n v="1278.94"/>
  </r>
  <r>
    <x v="234"/>
    <n v="1307.54"/>
  </r>
  <r>
    <x v="235"/>
    <n v="1416.22"/>
  </r>
  <r>
    <x v="236"/>
    <n v="1403.33"/>
  </r>
  <r>
    <x v="237"/>
    <n v="1377.39"/>
  </r>
  <r>
    <x v="238"/>
    <n v="1386.86"/>
  </r>
  <r>
    <x v="239"/>
    <n v="1386.86"/>
  </r>
  <r>
    <x v="240"/>
    <n v="1396.24"/>
  </r>
  <r>
    <x v="241"/>
    <n v="1395.68"/>
  </r>
  <r>
    <x v="242"/>
    <n v="1382.5"/>
  </r>
  <r>
    <x v="243"/>
    <n v="1428.46"/>
  </r>
  <r>
    <x v="244"/>
    <n v="1413.01"/>
  </r>
  <r>
    <x v="245"/>
    <n v="1347.96"/>
  </r>
  <r>
    <x v="246"/>
    <n v="1331.96"/>
  </r>
  <r>
    <x v="247"/>
    <n v="1332.13"/>
  </r>
  <r>
    <x v="248"/>
    <n v="1308.99"/>
  </r>
  <r>
    <x v="249"/>
    <n v="1295.22"/>
  </r>
  <r>
    <x v="250"/>
    <n v="1273.81"/>
  </r>
  <r>
    <x v="251"/>
    <n v="1273.81"/>
  </r>
  <r>
    <x v="252"/>
    <n v="1273.81"/>
  </r>
  <r>
    <x v="253"/>
    <n v="1245.49"/>
  </r>
  <r>
    <x v="254"/>
    <n v="1244.6400000000001"/>
  </r>
  <r>
    <x v="255"/>
    <n v="1244.6400000000001"/>
  </r>
  <r>
    <x v="256"/>
    <n v="1241.0999999999999"/>
  </r>
  <r>
    <x v="257"/>
    <n v="1278.94"/>
  </r>
  <r>
    <x v="258"/>
    <n v="1273.9000000000001"/>
  </r>
  <r>
    <x v="259"/>
    <n v="1272.6300000000001"/>
  </r>
  <r>
    <x v="260"/>
    <n v="1282.33"/>
  </r>
  <r>
    <x v="261"/>
    <n v="1272.01"/>
  </r>
  <r>
    <x v="262"/>
    <n v="1283.0899999999999"/>
  </r>
  <r>
    <x v="263"/>
    <n v="1280.8"/>
  </r>
  <r>
    <x v="264"/>
    <n v="1269.9100000000001"/>
  </r>
  <r>
    <x v="265"/>
    <n v="1215.93"/>
  </r>
  <r>
    <x v="266"/>
    <n v="1182.71"/>
  </r>
  <r>
    <x v="267"/>
    <n v="1177.1400000000001"/>
  </r>
  <r>
    <x v="268"/>
    <n v="1200.9000000000001"/>
  </r>
  <r>
    <x v="269"/>
    <n v="1228.18"/>
  </r>
  <r>
    <x v="270"/>
    <n v="1205.73"/>
  </r>
  <r>
    <x v="271"/>
    <n v="1234.4000000000001"/>
  </r>
  <r>
    <x v="272"/>
    <n v="1230.5999999999999"/>
  </r>
  <r>
    <x v="273"/>
    <n v="1170.28"/>
  </r>
  <r>
    <x v="274"/>
    <n v="1106.22"/>
  </r>
  <r>
    <x v="275"/>
    <n v="1071.1199999999999"/>
  </r>
  <r>
    <x v="276"/>
    <n v="1062.25"/>
  </r>
  <r>
    <x v="277"/>
    <n v="1050.33"/>
  </r>
  <r>
    <x v="278"/>
    <n v="1041.6500000000001"/>
  </r>
  <r>
    <x v="279"/>
    <n v="1034.8900000000001"/>
  </r>
  <r>
    <x v="280"/>
    <n v="1035.73"/>
  </r>
  <r>
    <x v="281"/>
    <n v="1046.02"/>
  </r>
  <r>
    <x v="282"/>
    <n v="1038.77"/>
  </r>
  <r>
    <x v="283"/>
    <n v="1048.49"/>
  </r>
  <r>
    <x v="284"/>
    <n v="1064.47"/>
  </r>
  <r>
    <x v="285"/>
    <n v="1072.6400000000001"/>
  </r>
  <r>
    <x v="286"/>
    <n v="1064.56"/>
  </r>
  <r>
    <x v="287"/>
    <n v="1040.8900000000001"/>
  </r>
  <r>
    <x v="288"/>
    <n v="1040.8900000000001"/>
  </r>
  <r>
    <x v="289"/>
    <n v="1037.77"/>
  </r>
  <r>
    <x v="290"/>
    <n v="1034.04"/>
  </r>
  <r>
    <x v="291"/>
    <n v="1034.06"/>
  </r>
  <r>
    <x v="292"/>
    <n v="1015.54"/>
  </r>
  <r>
    <x v="293"/>
    <n v="1006.71"/>
  </r>
  <r>
    <x v="294"/>
    <n v="1014.98"/>
  </r>
  <r>
    <x v="295"/>
    <n v="1026.6500000000001"/>
  </r>
  <r>
    <x v="296"/>
    <n v="1021.92"/>
  </r>
  <r>
    <x v="297"/>
    <n v="1021.16"/>
  </r>
  <r>
    <x v="298"/>
    <n v="1031.6300000000001"/>
  </r>
  <r>
    <x v="299"/>
    <n v="1021.55"/>
  </r>
  <r>
    <x v="300"/>
    <n v="1005.46"/>
  </r>
  <r>
    <x v="301"/>
    <n v="994.86"/>
  </r>
  <r>
    <x v="302"/>
    <n v="999.64"/>
  </r>
  <r>
    <x v="303"/>
    <n v="1000.69"/>
  </r>
  <r>
    <x v="304"/>
    <n v="985.86"/>
  </r>
  <r>
    <x v="305"/>
    <n v="1000.88"/>
  </r>
  <r>
    <x v="306"/>
    <n v="996.25"/>
  </r>
  <r>
    <x v="307"/>
    <n v="991.25"/>
  </r>
  <r>
    <x v="308"/>
    <n v="1016.09"/>
  </r>
  <r>
    <x v="309"/>
    <n v="1016.09"/>
  </r>
  <r>
    <x v="310"/>
    <n v="1016.09"/>
  </r>
  <r>
    <x v="311"/>
    <n v="1016.09"/>
  </r>
  <r>
    <x v="312"/>
    <n v="1016.09"/>
  </r>
  <r>
    <x v="313"/>
    <n v="1027.0899999999999"/>
  </r>
  <r>
    <x v="314"/>
    <n v="1012.94"/>
  </r>
  <r>
    <x v="315"/>
    <n v="1036.1600000000001"/>
  </r>
  <r>
    <x v="316"/>
    <n v="1036.25"/>
  </r>
  <r>
    <x v="317"/>
    <n v="1042.43"/>
  </r>
  <r>
    <x v="318"/>
    <n v="1032.3599999999999"/>
  </r>
  <r>
    <x v="319"/>
    <n v="1023.89"/>
  </r>
  <r>
    <x v="320"/>
    <n v="1027.6300000000001"/>
  </r>
  <r>
    <x v="321"/>
    <n v="1015.67"/>
  </r>
  <r>
    <x v="322"/>
    <n v="1012.01"/>
  </r>
  <r>
    <x v="323"/>
    <n v="1036.19"/>
  </r>
  <r>
    <x v="324"/>
    <n v="980.98"/>
  </r>
  <r>
    <x v="325"/>
    <n v="1000.47"/>
  </r>
  <r>
    <x v="326"/>
    <n v="996.63"/>
  </r>
  <r>
    <x v="327"/>
    <n v="981.21"/>
  </r>
  <r>
    <x v="328"/>
    <n v="1016.08"/>
  </r>
  <r>
    <x v="329"/>
    <n v="1029.54"/>
  </r>
  <r>
    <x v="330"/>
    <n v="1053.46"/>
  </r>
  <r>
    <x v="331"/>
    <n v="1032.24"/>
  </r>
  <r>
    <x v="332"/>
    <n v="1031.25"/>
  </r>
  <r>
    <x v="333"/>
    <n v="1044.95"/>
  </r>
  <r>
    <x v="334"/>
    <n v="1051.04"/>
  </r>
  <r>
    <x v="335"/>
    <n v="1076.5999999999999"/>
  </r>
  <r>
    <x v="336"/>
    <n v="1054.78"/>
  </r>
  <r>
    <x v="337"/>
    <n v="1072.51"/>
  </r>
  <r>
    <x v="338"/>
    <n v="1080.31"/>
  </r>
  <r>
    <x v="339"/>
    <n v="1108.6099999999999"/>
  </r>
  <r>
    <x v="340"/>
    <n v="1064.71"/>
  </r>
  <r>
    <x v="341"/>
    <n v="1086.8599999999999"/>
  </r>
  <r>
    <x v="342"/>
    <n v="1124.1400000000001"/>
  </r>
  <r>
    <x v="343"/>
    <n v="1173.3599999999999"/>
  </r>
  <r>
    <x v="344"/>
    <n v="1173.3599999999999"/>
  </r>
  <r>
    <x v="345"/>
    <n v="1173.3599999999999"/>
  </r>
  <r>
    <x v="346"/>
    <n v="1183.55"/>
  </r>
  <r>
    <x v="347"/>
    <n v="1199.4100000000001"/>
  </r>
  <r>
    <x v="348"/>
    <n v="1194.74"/>
  </r>
  <r>
    <x v="349"/>
    <n v="1209.52"/>
  </r>
  <r>
    <x v="350"/>
    <n v="1237.43"/>
  </r>
  <r>
    <x v="351"/>
    <n v="1235.43"/>
  </r>
  <r>
    <x v="352"/>
    <n v="1175.67"/>
  </r>
  <r>
    <x v="353"/>
    <n v="1208.21"/>
  </r>
  <r>
    <x v="354"/>
    <n v="1219.8800000000001"/>
  </r>
  <r>
    <x v="355"/>
    <n v="1188.48"/>
  </r>
  <r>
    <x v="356"/>
    <n v="1229.32"/>
  </r>
  <r>
    <x v="357"/>
    <n v="1232.72"/>
  </r>
  <r>
    <x v="358"/>
    <n v="1233.22"/>
  </r>
  <r>
    <x v="359"/>
    <n v="1241.4100000000001"/>
  </r>
  <r>
    <x v="360"/>
    <n v="1251.67"/>
  </r>
  <r>
    <x v="361"/>
    <n v="1227.54"/>
  </r>
  <r>
    <x v="362"/>
    <n v="1221.49"/>
  </r>
  <r>
    <x v="363"/>
    <n v="1163.48"/>
  </r>
  <r>
    <x v="364"/>
    <n v="1125.3"/>
  </r>
  <r>
    <x v="365"/>
    <n v="1096.3900000000001"/>
  </r>
  <r>
    <x v="366"/>
    <n v="1119.17"/>
  </r>
  <r>
    <x v="367"/>
    <n v="1142.45"/>
  </r>
  <r>
    <x v="368"/>
    <n v="1160.3800000000001"/>
  </r>
  <r>
    <x v="369"/>
    <n v="1141.6199999999999"/>
  </r>
  <r>
    <x v="370"/>
    <n v="1104.93"/>
  </r>
  <r>
    <x v="371"/>
    <n v="1050.43"/>
  </r>
  <r>
    <x v="372"/>
    <n v="1033.56"/>
  </r>
  <r>
    <x v="373"/>
    <n v="991.3"/>
  </r>
  <r>
    <x v="374"/>
    <n v="995"/>
  </r>
  <r>
    <x v="375"/>
    <n v="995"/>
  </r>
  <r>
    <x v="376"/>
    <n v="950.24"/>
  </r>
  <r>
    <x v="377"/>
    <n v="932.59"/>
  </r>
  <r>
    <x v="378"/>
    <n v="939.7"/>
  </r>
  <r>
    <x v="379"/>
    <n v="954.23"/>
  </r>
  <r>
    <x v="380"/>
    <n v="954.23"/>
  </r>
  <r>
    <x v="381"/>
    <n v="971.88"/>
  </r>
  <r>
    <x v="382"/>
    <n v="946.47"/>
  </r>
  <r>
    <x v="383"/>
    <n v="964.69"/>
  </r>
  <r>
    <x v="384"/>
    <n v="963.22"/>
  </r>
  <r>
    <x v="385"/>
    <n v="993.73"/>
  </r>
  <r>
    <x v="386"/>
    <n v="1003.94"/>
  </r>
  <r>
    <x v="387"/>
    <n v="1037.29"/>
  </r>
  <r>
    <x v="388"/>
    <n v="1011.46"/>
  </r>
  <r>
    <x v="389"/>
    <n v="993.53"/>
  </r>
  <r>
    <x v="390"/>
    <n v="986.37"/>
  </r>
  <r>
    <x v="391"/>
    <n v="986.37"/>
  </r>
  <r>
    <x v="392"/>
    <n v="936.93"/>
  </r>
  <r>
    <x v="393"/>
    <n v="934.71"/>
  </r>
  <r>
    <x v="394"/>
    <n v="913.05"/>
  </r>
  <r>
    <x v="395"/>
    <n v="907.69"/>
  </r>
  <r>
    <x v="396"/>
    <n v="858.82"/>
  </r>
  <r>
    <x v="397"/>
    <n v="838.16"/>
  </r>
  <r>
    <x v="398"/>
    <n v="867.12"/>
  </r>
  <r>
    <x v="399"/>
    <n v="889.15"/>
  </r>
  <r>
    <x v="400"/>
    <n v="972.75"/>
  </r>
  <r>
    <x v="401"/>
    <n v="1006.39"/>
  </r>
  <r>
    <x v="402"/>
    <n v="984.19"/>
  </r>
  <r>
    <x v="403"/>
    <n v="930.44"/>
  </r>
  <r>
    <x v="404"/>
    <n v="872.61"/>
  </r>
  <r>
    <x v="405"/>
    <n v="872.61"/>
  </r>
  <r>
    <x v="406"/>
    <n v="857.14"/>
  </r>
  <r>
    <x v="407"/>
    <n v="882.35"/>
  </r>
  <r>
    <x v="408"/>
    <n v="868.42"/>
  </r>
  <r>
    <x v="409"/>
    <n v="870.63"/>
  </r>
  <r>
    <x v="410"/>
    <n v="881.71"/>
  </r>
  <r>
    <x v="411"/>
    <n v="863.3"/>
  </r>
  <r>
    <x v="412"/>
    <n v="840.97"/>
  </r>
  <r>
    <x v="413"/>
    <n v="848.8"/>
  </r>
  <r>
    <x v="414"/>
    <n v="844.01"/>
  </r>
  <r>
    <x v="415"/>
    <n v="844.01"/>
  </r>
  <r>
    <x v="416"/>
    <n v="863.64"/>
  </r>
  <r>
    <x v="417"/>
    <n v="840.28"/>
  </r>
  <r>
    <x v="418"/>
    <n v="852.85"/>
  </r>
  <r>
    <x v="419"/>
    <n v="859.75"/>
  </r>
  <r>
    <x v="420"/>
    <n v="806.84"/>
  </r>
  <r>
    <x v="421"/>
    <n v="855.48"/>
  </r>
  <r>
    <x v="422"/>
    <n v="872.31"/>
  </r>
  <r>
    <x v="423"/>
    <n v="843.82"/>
  </r>
  <r>
    <x v="424"/>
    <n v="899.33"/>
  </r>
  <r>
    <x v="425"/>
    <n v="898.91"/>
  </r>
  <r>
    <x v="426"/>
    <n v="888.6"/>
  </r>
  <r>
    <x v="427"/>
    <n v="884.74"/>
  </r>
  <r>
    <x v="428"/>
    <n v="884.82"/>
  </r>
  <r>
    <x v="429"/>
    <n v="870.46"/>
  </r>
  <r>
    <x v="430"/>
    <n v="870.46"/>
  </r>
  <r>
    <x v="431"/>
    <n v="870.46"/>
  </r>
  <r>
    <x v="432"/>
    <n v="854.74"/>
  </r>
  <r>
    <x v="433"/>
    <n v="844.81"/>
  </r>
  <r>
    <x v="434"/>
    <n v="840.01"/>
  </r>
  <r>
    <x v="435"/>
    <n v="812.75"/>
  </r>
  <r>
    <x v="436"/>
    <n v="784.83"/>
  </r>
  <r>
    <x v="437"/>
    <n v="747.68"/>
  </r>
  <r>
    <x v="438"/>
    <n v="720.62"/>
  </r>
  <r>
    <x v="439"/>
    <n v="709.83"/>
  </r>
  <r>
    <x v="440"/>
    <n v="701.01"/>
  </r>
  <r>
    <x v="441"/>
    <n v="694.89"/>
  </r>
  <r>
    <x v="442"/>
    <n v="689.85"/>
  </r>
  <r>
    <x v="443"/>
    <n v="685.58"/>
  </r>
  <r>
    <x v="444"/>
    <n v="683.01"/>
  </r>
  <r>
    <x v="445"/>
    <n v="682.08"/>
  </r>
  <r>
    <x v="446"/>
    <n v="680.85"/>
  </r>
  <r>
    <x v="447"/>
    <n v="679.95"/>
  </r>
  <r>
    <x v="448"/>
    <n v="680.08"/>
  </r>
  <r>
    <x v="449"/>
    <n v="679.36"/>
  </r>
  <r>
    <x v="450"/>
    <n v="678.68"/>
  </r>
  <r>
    <x v="451"/>
    <n v="677.79"/>
  </r>
  <r>
    <x v="452"/>
    <n v="676.32"/>
  </r>
  <r>
    <x v="453"/>
    <n v="676.46"/>
  </r>
  <r>
    <x v="454"/>
    <n v="675.54"/>
  </r>
  <r>
    <x v="455"/>
    <n v="673.36"/>
  </r>
  <r>
    <x v="456"/>
    <n v="674.84"/>
  </r>
  <r>
    <x v="457"/>
    <n v="673.47"/>
  </r>
  <r>
    <x v="458"/>
    <n v="672.34"/>
  </r>
  <r>
    <x v="459"/>
    <n v="672.62"/>
  </r>
  <r>
    <x v="460"/>
    <n v="670.37"/>
  </r>
  <r>
    <x v="461"/>
    <n v="670.83"/>
  </r>
  <r>
    <x v="462"/>
    <n v="670.99"/>
  </r>
  <r>
    <x v="463"/>
    <n v="671.02"/>
  </r>
  <r>
    <x v="464"/>
    <n v="667.95"/>
  </r>
  <r>
    <x v="465"/>
    <n v="664.97"/>
  </r>
  <r>
    <x v="466"/>
    <n v="665.4"/>
  </r>
  <r>
    <x v="467"/>
    <n v="661.32"/>
  </r>
  <r>
    <x v="468"/>
    <n v="658.88"/>
  </r>
  <r>
    <x v="469"/>
    <n v="657.48"/>
  </r>
  <r>
    <x v="470"/>
    <n v="657.48"/>
  </r>
  <r>
    <x v="471"/>
    <n v="659.49"/>
  </r>
  <r>
    <x v="472"/>
    <n v="651.41999999999996"/>
  </r>
  <r>
    <x v="473"/>
    <n v="667.17"/>
  </r>
  <r>
    <x v="474"/>
    <n v="621.14"/>
  </r>
  <r>
    <x v="475"/>
    <n v="539.89"/>
  </r>
  <r>
    <x v="476"/>
    <n v="529.82000000000005"/>
  </r>
  <r>
    <x v="477"/>
    <n v="527.91999999999996"/>
  </r>
  <r>
    <x v="478"/>
    <n v="521.91999999999996"/>
  </r>
  <r>
    <x v="479"/>
    <n v="516.70000000000005"/>
  </r>
  <r>
    <x v="480"/>
    <n v="514.71"/>
  </r>
  <r>
    <x v="481"/>
    <n v="513.99"/>
  </r>
  <r>
    <x v="482"/>
    <n v="512.54"/>
  </r>
  <r>
    <x v="483"/>
    <n v="509.45"/>
  </r>
  <r>
    <x v="484"/>
    <n v="509.1"/>
  </r>
  <r>
    <x v="485"/>
    <n v="508.01"/>
  </r>
  <r>
    <x v="486"/>
    <n v="510.62"/>
  </r>
  <r>
    <x v="487"/>
    <n v="503.9"/>
  </r>
  <r>
    <x v="488"/>
    <n v="507.12"/>
  </r>
  <r>
    <x v="489"/>
    <n v="497.09"/>
  </r>
  <r>
    <x v="490"/>
    <n v="498.08"/>
  </r>
  <r>
    <x v="491"/>
    <n v="495.84"/>
  </r>
  <r>
    <x v="492"/>
    <n v="494.65"/>
  </r>
  <r>
    <x v="493"/>
    <n v="494.9"/>
  </r>
  <r>
    <x v="494"/>
    <n v="499.86"/>
  </r>
  <r>
    <x v="495"/>
    <n v="499.71"/>
  </r>
  <r>
    <x v="496"/>
    <n v="498.73"/>
  </r>
  <r>
    <x v="497"/>
    <n v="488.65"/>
  </r>
  <r>
    <x v="498"/>
    <n v="488.64"/>
  </r>
  <r>
    <x v="499"/>
    <n v="490.4"/>
  </r>
  <r>
    <x v="500"/>
    <n v="484.78"/>
  </r>
  <r>
    <x v="501"/>
    <n v="484.68"/>
  </r>
  <r>
    <x v="502"/>
    <n v="480.37"/>
  </r>
  <r>
    <x v="503"/>
    <n v="482.9"/>
  </r>
  <r>
    <x v="504"/>
    <n v="483.45"/>
  </r>
  <r>
    <x v="505"/>
    <n v="484.69"/>
  </r>
  <r>
    <x v="506"/>
    <n v="482.23"/>
  </r>
  <r>
    <x v="507"/>
    <n v="484.01"/>
  </r>
  <r>
    <x v="508"/>
    <n v="483.43"/>
  </r>
  <r>
    <x v="509"/>
    <n v="479.79"/>
  </r>
  <r>
    <x v="510"/>
    <n v="486.66"/>
  </r>
  <r>
    <x v="511"/>
    <n v="482.51"/>
  </r>
  <r>
    <x v="512"/>
    <n v="476.46"/>
  </r>
  <r>
    <x v="513"/>
    <n v="479.35"/>
  </r>
  <r>
    <x v="514"/>
    <n v="479.35"/>
  </r>
  <r>
    <x v="515"/>
    <n v="479.35"/>
  </r>
  <r>
    <x v="516"/>
    <n v="474.59"/>
  </r>
  <r>
    <x v="517"/>
    <n v="474.98"/>
  </r>
  <r>
    <x v="518"/>
    <n v="473.19"/>
  </r>
  <r>
    <x v="519"/>
    <n v="474.49"/>
  </r>
  <r>
    <x v="520"/>
    <n v="473.5"/>
  </r>
  <r>
    <x v="521"/>
    <n v="473.92"/>
  </r>
  <r>
    <x v="522"/>
    <n v="472.76"/>
  </r>
  <r>
    <x v="523"/>
    <n v="473.87"/>
  </r>
  <r>
    <x v="524"/>
    <n v="472.29"/>
  </r>
  <r>
    <x v="525"/>
    <n v="469.09"/>
  </r>
  <r>
    <x v="526"/>
    <n v="467.03"/>
  </r>
  <r>
    <x v="527"/>
    <n v="466.98"/>
  </r>
  <r>
    <x v="528"/>
    <n v="462.32"/>
  </r>
  <r>
    <x v="529"/>
    <n v="459.51"/>
  </r>
  <r>
    <x v="530"/>
    <n v="459.55"/>
  </r>
  <r>
    <x v="531"/>
    <n v="459.55"/>
  </r>
  <r>
    <x v="532"/>
    <n v="462.35"/>
  </r>
  <r>
    <x v="533"/>
    <n v="466.09"/>
  </r>
  <r>
    <x v="534"/>
    <n v="464.27"/>
  </r>
  <r>
    <x v="535"/>
    <n v="465.42"/>
  </r>
  <r>
    <x v="536"/>
    <n v="473.5"/>
  </r>
  <r>
    <x v="537"/>
    <n v="444.08"/>
  </r>
  <r>
    <x v="538"/>
    <n v="442.43"/>
  </r>
  <r>
    <x v="539"/>
    <n v="437.66"/>
  </r>
  <r>
    <x v="540"/>
    <n v="434.31"/>
  </r>
  <r>
    <x v="541"/>
    <n v="440.07"/>
  </r>
  <r>
    <x v="542"/>
    <n v="436.09"/>
  </r>
  <r>
    <x v="543"/>
    <n v="432.08"/>
  </r>
  <r>
    <x v="544"/>
    <n v="432.08"/>
  </r>
  <r>
    <x v="545"/>
    <n v="432.35"/>
  </r>
  <r>
    <x v="546"/>
    <n v="430.19"/>
  </r>
  <r>
    <x v="547"/>
    <n v="431.03"/>
  </r>
  <r>
    <x v="548"/>
    <n v="428.84"/>
  </r>
  <r>
    <x v="549"/>
    <n v="436.05"/>
  </r>
  <r>
    <x v="550"/>
    <n v="436.05"/>
  </r>
  <r>
    <x v="551"/>
    <n v="442.23"/>
  </r>
  <r>
    <x v="552"/>
    <n v="446.43"/>
  </r>
  <r>
    <x v="553"/>
    <n v="447.5"/>
  </r>
  <r>
    <x v="554"/>
    <n v="449.02"/>
  </r>
  <r>
    <x v="555"/>
    <n v="437.75"/>
  </r>
  <r>
    <x v="556"/>
    <n v="421.9"/>
  </r>
  <r>
    <x v="557"/>
    <n v="409.77"/>
  </r>
  <r>
    <x v="558"/>
    <n v="408.86"/>
  </r>
  <r>
    <x v="559"/>
    <n v="395.45"/>
  </r>
  <r>
    <x v="560"/>
    <n v="398.62"/>
  </r>
  <r>
    <x v="561"/>
    <n v="388.14"/>
  </r>
  <r>
    <x v="562"/>
    <n v="386.34"/>
  </r>
  <r>
    <x v="563"/>
    <n v="387"/>
  </r>
  <r>
    <x v="564"/>
    <n v="390.71"/>
  </r>
  <r>
    <x v="565"/>
    <n v="396.6"/>
  </r>
  <r>
    <x v="566"/>
    <n v="396.6"/>
  </r>
  <r>
    <x v="567"/>
    <n v="396.6"/>
  </r>
  <r>
    <x v="568"/>
    <n v="402.41"/>
  </r>
  <r>
    <x v="569"/>
    <n v="396.94"/>
  </r>
  <r>
    <x v="570"/>
    <n v="397.37"/>
  </r>
  <r>
    <x v="571"/>
    <n v="391.82"/>
  </r>
  <r>
    <x v="572"/>
    <n v="386.81"/>
  </r>
  <r>
    <x v="573"/>
    <n v="383.55"/>
  </r>
  <r>
    <x v="574"/>
    <n v="376.4"/>
  </r>
  <r>
    <x v="575"/>
    <n v="375.72"/>
  </r>
  <r>
    <x v="576"/>
    <n v="375.72"/>
  </r>
  <r>
    <x v="577"/>
    <n v="387.1"/>
  </r>
  <r>
    <x v="578"/>
    <n v="385.98"/>
  </r>
  <r>
    <x v="579"/>
    <n v="387.63"/>
  </r>
  <r>
    <x v="580"/>
    <n v="388.84"/>
  </r>
  <r>
    <x v="581"/>
    <n v="388.76"/>
  </r>
  <r>
    <x v="582"/>
    <n v="383.31"/>
  </r>
  <r>
    <x v="583"/>
    <n v="377.76"/>
  </r>
  <r>
    <x v="584"/>
    <n v="379.51"/>
  </r>
  <r>
    <x v="585"/>
    <n v="380.64"/>
  </r>
  <r>
    <x v="586"/>
    <n v="375.43"/>
  </r>
  <r>
    <x v="587"/>
    <n v="372.86"/>
  </r>
  <r>
    <x v="588"/>
    <n v="366.97"/>
  </r>
  <r>
    <x v="589"/>
    <n v="362.42"/>
  </r>
  <r>
    <x v="590"/>
    <n v="366.5"/>
  </r>
  <r>
    <x v="591"/>
    <n v="364.81"/>
  </r>
  <r>
    <x v="592"/>
    <n v="359.78"/>
  </r>
  <r>
    <x v="593"/>
    <n v="357.47"/>
  </r>
  <r>
    <x v="594"/>
    <n v="356.07"/>
  </r>
  <r>
    <x v="595"/>
    <n v="356.78"/>
  </r>
  <r>
    <x v="596"/>
    <n v="357.26"/>
  </r>
  <r>
    <x v="597"/>
    <n v="356.45"/>
  </r>
  <r>
    <x v="598"/>
    <n v="355.59"/>
  </r>
  <r>
    <x v="599"/>
    <n v="355.59"/>
  </r>
  <r>
    <x v="600"/>
    <n v="355.59"/>
  </r>
  <r>
    <x v="601"/>
    <n v="357.61"/>
  </r>
  <r>
    <x v="602"/>
    <n v="356.23"/>
  </r>
  <r>
    <x v="603"/>
    <n v="355.28"/>
  </r>
  <r>
    <x v="604"/>
    <n v="355.27"/>
  </r>
  <r>
    <x v="605"/>
    <n v="354.15"/>
  </r>
  <r>
    <x v="606"/>
    <n v="354.36"/>
  </r>
  <r>
    <x v="607"/>
    <n v="354.95"/>
  </r>
  <r>
    <x v="608"/>
    <n v="353.2"/>
  </r>
  <r>
    <x v="609"/>
    <n v="353.94"/>
  </r>
  <r>
    <x v="610"/>
    <n v="357.36"/>
  </r>
  <r>
    <x v="611"/>
    <n v="354.75"/>
  </r>
  <r>
    <x v="612"/>
    <n v="353.7"/>
  </r>
  <r>
    <x v="613"/>
    <n v="354.81"/>
  </r>
  <r>
    <x v="614"/>
    <n v="353.93"/>
  </r>
  <r>
    <x v="615"/>
    <n v="352.78"/>
  </r>
  <r>
    <x v="616"/>
    <n v="352.22"/>
  </r>
  <r>
    <x v="617"/>
    <n v="351.98"/>
  </r>
  <r>
    <x v="618"/>
    <n v="353.85"/>
  </r>
  <r>
    <x v="619"/>
    <n v="352.21"/>
  </r>
  <r>
    <x v="620"/>
    <n v="352.52"/>
  </r>
  <r>
    <x v="621"/>
    <n v="332.83"/>
  </r>
  <r>
    <x v="622"/>
    <n v="340.3"/>
  </r>
  <r>
    <x v="623"/>
    <n v="341.89"/>
  </r>
  <r>
    <x v="624"/>
    <n v="344.03"/>
  </r>
  <r>
    <x v="625"/>
    <n v="340.23"/>
  </r>
  <r>
    <x v="626"/>
    <n v="342.38"/>
  </r>
  <r>
    <x v="627"/>
    <n v="327.7"/>
  </r>
  <r>
    <x v="628"/>
    <n v="325.87"/>
  </r>
  <r>
    <x v="629"/>
    <n v="327.17"/>
  </r>
  <r>
    <x v="630"/>
    <n v="329.91"/>
  </r>
  <r>
    <x v="631"/>
    <n v="332.67"/>
  </r>
  <r>
    <x v="632"/>
    <n v="334.93"/>
  </r>
  <r>
    <x v="633"/>
    <n v="330.7"/>
  </r>
  <r>
    <x v="634"/>
    <n v="329.21"/>
  </r>
  <r>
    <x v="635"/>
    <n v="327.94"/>
  </r>
  <r>
    <x v="636"/>
    <n v="334.36"/>
  </r>
  <r>
    <x v="637"/>
    <n v="331.63"/>
  </r>
  <r>
    <x v="638"/>
    <n v="335.39"/>
  </r>
  <r>
    <x v="639"/>
    <n v="327.62"/>
  </r>
  <r>
    <x v="640"/>
    <n v="325.70999999999998"/>
  </r>
  <r>
    <x v="641"/>
    <n v="324.25"/>
  </r>
  <r>
    <x v="642"/>
    <n v="322.87"/>
  </r>
  <r>
    <x v="643"/>
    <n v="325.01"/>
  </r>
  <r>
    <x v="644"/>
    <n v="320.89"/>
  </r>
  <r>
    <x v="645"/>
    <n v="320.10000000000002"/>
  </r>
  <r>
    <x v="646"/>
    <n v="320.10000000000002"/>
  </r>
  <r>
    <x v="647"/>
    <n v="322.7"/>
  </r>
  <r>
    <x v="648"/>
    <n v="323.36"/>
  </r>
  <r>
    <x v="649"/>
    <n v="322.35000000000002"/>
  </r>
  <r>
    <x v="650"/>
    <n v="328.98"/>
  </r>
  <r>
    <x v="651"/>
    <n v="328.98"/>
  </r>
  <r>
    <x v="652"/>
    <n v="328.98"/>
  </r>
  <r>
    <x v="653"/>
    <n v="328.88"/>
  </r>
  <r>
    <x v="654"/>
    <n v="319.11"/>
  </r>
  <r>
    <x v="655"/>
    <n v="318.67"/>
  </r>
  <r>
    <x v="656"/>
    <n v="318.57"/>
  </r>
  <r>
    <x v="657"/>
    <n v="312.51"/>
  </r>
  <r>
    <x v="658"/>
    <n v="313.45"/>
  </r>
  <r>
    <x v="659"/>
    <n v="314.02"/>
  </r>
  <r>
    <x v="660"/>
    <n v="316.07"/>
  </r>
  <r>
    <x v="661"/>
    <n v="319.3"/>
  </r>
  <r>
    <x v="662"/>
    <n v="311.81"/>
  </r>
  <r>
    <x v="663"/>
    <n v="312.8"/>
  </r>
  <r>
    <x v="664"/>
    <n v="313.58"/>
  </r>
  <r>
    <x v="665"/>
    <n v="313.58"/>
  </r>
  <r>
    <x v="666"/>
    <n v="313.87"/>
  </r>
  <r>
    <x v="667"/>
    <n v="308.98"/>
  </r>
  <r>
    <x v="668"/>
    <n v="302.06"/>
  </r>
  <r>
    <x v="669"/>
    <n v="299.83999999999997"/>
  </r>
  <r>
    <x v="670"/>
    <n v="297.70999999999998"/>
  </r>
  <r>
    <x v="671"/>
    <n v="296.82"/>
  </r>
  <r>
    <x v="672"/>
    <n v="292.93"/>
  </r>
  <r>
    <x v="673"/>
    <n v="292.37"/>
  </r>
  <r>
    <x v="674"/>
    <n v="289.76"/>
  </r>
  <r>
    <x v="675"/>
    <n v="290.97000000000003"/>
  </r>
  <r>
    <x v="676"/>
    <n v="292.92"/>
  </r>
  <r>
    <x v="677"/>
    <n v="291.17"/>
  </r>
  <r>
    <x v="678"/>
    <n v="292.83999999999997"/>
  </r>
  <r>
    <x v="679"/>
    <n v="293.92"/>
  </r>
  <r>
    <x v="680"/>
    <n v="295.07"/>
  </r>
  <r>
    <x v="681"/>
    <n v="294.64999999999998"/>
  </r>
  <r>
    <x v="682"/>
    <n v="292.27999999999997"/>
  </r>
  <r>
    <x v="683"/>
    <n v="293.63"/>
  </r>
  <r>
    <x v="684"/>
    <n v="291.89"/>
  </r>
  <r>
    <x v="685"/>
    <n v="290.63"/>
  </r>
  <r>
    <x v="686"/>
    <n v="290.87"/>
  </r>
  <r>
    <x v="687"/>
    <n v="292.41000000000003"/>
  </r>
  <r>
    <x v="688"/>
    <n v="293.33"/>
  </r>
  <r>
    <x v="689"/>
    <n v="295.58"/>
  </r>
  <r>
    <x v="690"/>
    <n v="299.04000000000002"/>
  </r>
  <r>
    <x v="691"/>
    <n v="299.42"/>
  </r>
  <r>
    <x v="692"/>
    <n v="293.69"/>
  </r>
  <r>
    <x v="693"/>
    <n v="288.14999999999998"/>
  </r>
  <r>
    <x v="694"/>
    <n v="293.25"/>
  </r>
  <r>
    <x v="695"/>
    <n v="293.25"/>
  </r>
  <r>
    <x v="696"/>
    <n v="293.25"/>
  </r>
  <r>
    <x v="697"/>
    <n v="297.5"/>
  </r>
  <r>
    <x v="698"/>
    <n v="299.77"/>
  </r>
  <r>
    <x v="699"/>
    <n v="297.97000000000003"/>
  </r>
  <r>
    <x v="700"/>
    <n v="302.48"/>
  </r>
  <r>
    <x v="701"/>
    <n v="295.83"/>
  </r>
  <r>
    <x v="702"/>
    <n v="297.99"/>
  </r>
  <r>
    <x v="703"/>
    <n v="296.77999999999997"/>
  </r>
  <r>
    <x v="704"/>
    <n v="298.25"/>
  </r>
  <r>
    <x v="705"/>
    <n v="301.82"/>
  </r>
  <r>
    <x v="706"/>
    <n v="302.19"/>
  </r>
  <r>
    <x v="707"/>
    <n v="297.91000000000003"/>
  </r>
  <r>
    <x v="708"/>
    <n v="295.10000000000002"/>
  </r>
  <r>
    <x v="709"/>
    <n v="297.11"/>
  </r>
  <r>
    <x v="710"/>
    <n v="294.19"/>
  </r>
  <r>
    <x v="711"/>
    <n v="289.66000000000003"/>
  </r>
  <r>
    <x v="712"/>
    <n v="275.45"/>
  </r>
  <r>
    <x v="713"/>
    <n v="269.89999999999998"/>
  </r>
  <r>
    <x v="714"/>
    <n v="269.39"/>
  </r>
  <r>
    <x v="715"/>
    <n v="269.56"/>
  </r>
  <r>
    <x v="716"/>
    <n v="273.02"/>
  </r>
  <r>
    <x v="717"/>
    <n v="271.02999999999997"/>
  </r>
  <r>
    <x v="718"/>
    <n v="270.33999999999997"/>
  </r>
  <r>
    <x v="719"/>
    <n v="271.19"/>
  </r>
  <r>
    <x v="720"/>
    <n v="278.73"/>
  </r>
  <r>
    <x v="721"/>
    <n v="278.73"/>
  </r>
  <r>
    <x v="722"/>
    <n v="283.08"/>
  </r>
  <r>
    <x v="723"/>
    <n v="283.83"/>
  </r>
  <r>
    <x v="724"/>
    <n v="281.77999999999997"/>
  </r>
  <r>
    <x v="725"/>
    <n v="282.57"/>
  </r>
  <r>
    <x v="726"/>
    <n v="282.57"/>
  </r>
  <r>
    <x v="727"/>
    <n v="282.57"/>
  </r>
  <r>
    <x v="728"/>
    <n v="286.60000000000002"/>
  </r>
  <r>
    <x v="729"/>
    <n v="286.60000000000002"/>
  </r>
  <r>
    <x v="730"/>
    <n v="288.14999999999998"/>
  </r>
  <r>
    <x v="731"/>
    <n v="287.88"/>
  </r>
  <r>
    <x v="732"/>
    <n v="292.02999999999997"/>
  </r>
  <r>
    <x v="733"/>
    <n v="292.02999999999997"/>
  </r>
  <r>
    <x v="734"/>
    <n v="292.02999999999997"/>
  </r>
  <r>
    <x v="735"/>
    <n v="288.13"/>
  </r>
  <r>
    <x v="736"/>
    <n v="281.37"/>
  </r>
  <r>
    <x v="737"/>
    <n v="275.77999999999997"/>
  </r>
  <r>
    <x v="738"/>
    <n v="279.12"/>
  </r>
  <r>
    <x v="739"/>
    <n v="279.12"/>
  </r>
  <r>
    <x v="740"/>
    <n v="279.12"/>
  </r>
  <r>
    <x v="741"/>
    <n v="279.12"/>
  </r>
  <r>
    <x v="742"/>
    <n v="279.36"/>
  </r>
  <r>
    <x v="743"/>
    <n v="284.58999999999997"/>
  </r>
  <r>
    <x v="744"/>
    <n v="279.2"/>
  </r>
  <r>
    <x v="745"/>
    <n v="278.94"/>
  </r>
  <r>
    <x v="746"/>
    <n v="278.77999999999997"/>
  </r>
  <r>
    <x v="747"/>
    <n v="278.77999999999997"/>
  </r>
  <r>
    <x v="748"/>
    <n v="278.77999999999997"/>
  </r>
  <r>
    <x v="749"/>
    <n v="284.47000000000003"/>
  </r>
  <r>
    <x v="750"/>
    <n v="281.02"/>
  </r>
  <r>
    <x v="751"/>
    <n v="276.66000000000003"/>
  </r>
  <r>
    <x v="752"/>
    <n v="272.48"/>
  </r>
  <r>
    <x v="753"/>
    <n v="276.70999999999998"/>
  </r>
  <r>
    <x v="754"/>
    <n v="276.70999999999998"/>
  </r>
  <r>
    <x v="755"/>
    <n v="276.70999999999998"/>
  </r>
  <r>
    <x v="756"/>
    <n v="298.16000000000003"/>
  </r>
  <r>
    <x v="757"/>
    <n v="323.77"/>
  </r>
  <r>
    <x v="758"/>
    <n v="324.88"/>
  </r>
  <r>
    <x v="759"/>
    <n v="319.72000000000003"/>
  </r>
  <r>
    <x v="760"/>
    <n v="315.5"/>
  </r>
  <r>
    <x v="761"/>
    <n v="315.5"/>
  </r>
  <r>
    <x v="762"/>
    <n v="315.5"/>
  </r>
  <r>
    <x v="763"/>
    <n v="326.08999999999997"/>
  </r>
  <r>
    <x v="764"/>
    <n v="303.44"/>
  </r>
  <r>
    <x v="765"/>
    <n v="297.83999999999997"/>
  </r>
  <r>
    <x v="766"/>
    <n v="295.24"/>
  </r>
  <r>
    <x v="767"/>
    <n v="292.5"/>
  </r>
  <r>
    <x v="768"/>
    <n v="284.27999999999997"/>
  </r>
  <r>
    <x v="769"/>
    <n v="280.06"/>
  </r>
  <r>
    <x v="770"/>
    <n v="279.39999999999998"/>
  </r>
  <r>
    <x v="771"/>
    <n v="285.69"/>
  </r>
  <r>
    <x v="772"/>
    <n v="289.29000000000002"/>
  </r>
  <r>
    <x v="773"/>
    <n v="284.32"/>
  </r>
  <r>
    <x v="774"/>
    <n v="270.17"/>
  </r>
  <r>
    <x v="775"/>
    <n v="265.27999999999997"/>
  </r>
  <r>
    <x v="776"/>
    <n v="272.39"/>
  </r>
  <r>
    <x v="777"/>
    <n v="247.9"/>
  </r>
  <r>
    <x v="778"/>
    <n v="249.59"/>
  </r>
  <r>
    <x v="779"/>
    <n v="245.67"/>
  </r>
  <r>
    <x v="780"/>
    <n v="243.07"/>
  </r>
  <r>
    <x v="781"/>
    <n v="240.09"/>
  </r>
  <r>
    <x v="782"/>
    <n v="232.72"/>
  </r>
  <r>
    <x v="783"/>
    <n v="232.23"/>
  </r>
  <r>
    <x v="784"/>
    <n v="227.94"/>
  </r>
  <r>
    <x v="785"/>
    <n v="233.27"/>
  </r>
  <r>
    <x v="786"/>
    <n v="235.09"/>
  </r>
  <r>
    <x v="787"/>
    <n v="235.09"/>
  </r>
  <r>
    <x v="788"/>
    <n v="235.09"/>
  </r>
  <r>
    <x v="789"/>
    <n v="229.83"/>
  </r>
  <r>
    <x v="790"/>
    <n v="231.96"/>
  </r>
  <r>
    <x v="791"/>
    <n v="227.37"/>
  </r>
  <r>
    <x v="792"/>
    <n v="223.2"/>
  </r>
  <r>
    <x v="793"/>
    <n v="217.5"/>
  </r>
  <r>
    <x v="794"/>
    <n v="209.15"/>
  </r>
  <r>
    <x v="795"/>
    <n v="208.68"/>
  </r>
  <r>
    <x v="796"/>
    <n v="208.84"/>
  </r>
  <r>
    <x v="797"/>
    <n v="207.75"/>
  </r>
  <r>
    <x v="798"/>
    <n v="207.04"/>
  </r>
  <r>
    <x v="799"/>
    <n v="208.62"/>
  </r>
  <r>
    <x v="800"/>
    <n v="207.35"/>
  </r>
  <r>
    <x v="801"/>
    <n v="209.15"/>
  </r>
  <r>
    <x v="802"/>
    <n v="210.35"/>
  </r>
  <r>
    <x v="803"/>
    <n v="211.41"/>
  </r>
  <r>
    <x v="804"/>
    <n v="211.33"/>
  </r>
  <r>
    <x v="805"/>
    <n v="211.33"/>
  </r>
  <r>
    <x v="806"/>
    <n v="210.61"/>
  </r>
  <r>
    <x v="807"/>
    <n v="209.56"/>
  </r>
  <r>
    <x v="808"/>
    <n v="207.88"/>
  </r>
  <r>
    <x v="809"/>
    <n v="209.31"/>
  </r>
  <r>
    <x v="810"/>
    <n v="209.31"/>
  </r>
  <r>
    <x v="811"/>
    <n v="210.79"/>
  </r>
  <r>
    <x v="812"/>
    <n v="210.85"/>
  </r>
  <r>
    <x v="813"/>
    <n v="206.38"/>
  </r>
  <r>
    <x v="814"/>
    <n v="207.08"/>
  </r>
  <r>
    <x v="815"/>
    <n v="207.79"/>
  </r>
  <r>
    <x v="816"/>
    <n v="206.52"/>
  </r>
  <r>
    <x v="817"/>
    <n v="208.49"/>
  </r>
  <r>
    <x v="818"/>
    <n v="205.39"/>
  </r>
  <r>
    <x v="819"/>
    <n v="203.57"/>
  </r>
  <r>
    <x v="820"/>
    <n v="207.49"/>
  </r>
  <r>
    <x v="821"/>
    <n v="209.38"/>
  </r>
  <r>
    <x v="822"/>
    <n v="205.99"/>
  </r>
  <r>
    <x v="823"/>
    <n v="203.99"/>
  </r>
  <r>
    <x v="824"/>
    <n v="208.33"/>
  </r>
  <r>
    <x v="825"/>
    <n v="212.07"/>
  </r>
  <r>
    <x v="826"/>
    <n v="207.96"/>
  </r>
  <r>
    <x v="827"/>
    <n v="208.27"/>
  </r>
  <r>
    <x v="828"/>
    <n v="203.97"/>
  </r>
  <r>
    <x v="829"/>
    <n v="195.24"/>
  </r>
  <r>
    <x v="830"/>
    <n v="191.69"/>
  </r>
  <r>
    <x v="831"/>
    <n v="189.3"/>
  </r>
  <r>
    <x v="832"/>
    <n v="191.33"/>
  </r>
  <r>
    <x v="833"/>
    <n v="191.33"/>
  </r>
  <r>
    <x v="834"/>
    <n v="191.33"/>
  </r>
  <r>
    <x v="835"/>
    <n v="191.67"/>
  </r>
  <r>
    <x v="836"/>
    <n v="191.31"/>
  </r>
  <r>
    <x v="837"/>
    <n v="191.15"/>
  </r>
  <r>
    <x v="838"/>
    <n v="192.32"/>
  </r>
  <r>
    <x v="839"/>
    <n v="190.21"/>
  </r>
  <r>
    <x v="840"/>
    <n v="190.17"/>
  </r>
  <r>
    <x v="841"/>
    <n v="190.88"/>
  </r>
  <r>
    <x v="842"/>
    <n v="189.75"/>
  </r>
  <r>
    <x v="843"/>
    <n v="190.56"/>
  </r>
  <r>
    <x v="844"/>
    <n v="192.52"/>
  </r>
  <r>
    <x v="845"/>
    <n v="191.99"/>
  </r>
  <r>
    <x v="846"/>
    <n v="196.27"/>
  </r>
  <r>
    <x v="847"/>
    <n v="200.31"/>
  </r>
  <r>
    <x v="848"/>
    <n v="200.72"/>
  </r>
  <r>
    <x v="849"/>
    <n v="199.82"/>
  </r>
  <r>
    <x v="850"/>
    <n v="197.9"/>
  </r>
  <r>
    <x v="851"/>
    <n v="195.17"/>
  </r>
  <r>
    <x v="852"/>
    <n v="195.27"/>
  </r>
  <r>
    <x v="853"/>
    <n v="193.3"/>
  </r>
  <r>
    <x v="854"/>
    <n v="187.94"/>
  </r>
  <r>
    <x v="855"/>
    <n v="185.6"/>
  </r>
  <r>
    <x v="856"/>
    <n v="187.41"/>
  </r>
  <r>
    <x v="857"/>
    <n v="189.62"/>
  </r>
  <r>
    <x v="858"/>
    <n v="190.85"/>
  </r>
  <r>
    <x v="859"/>
    <n v="194.54"/>
  </r>
  <r>
    <x v="860"/>
    <n v="197.28"/>
  </r>
  <r>
    <x v="861"/>
    <n v="197.6"/>
  </r>
  <r>
    <x v="862"/>
    <n v="197.6"/>
  </r>
  <r>
    <x v="863"/>
    <n v="197.6"/>
  </r>
  <r>
    <x v="864"/>
    <n v="196.82"/>
  </r>
  <r>
    <x v="865"/>
    <n v="196.84"/>
  </r>
  <r>
    <x v="866"/>
    <n v="195.31"/>
  </r>
  <r>
    <x v="867"/>
    <n v="195.31"/>
  </r>
  <r>
    <x v="868"/>
    <n v="195.31"/>
  </r>
  <r>
    <x v="869"/>
    <n v="195.31"/>
  </r>
  <r>
    <x v="870"/>
    <n v="195.31"/>
  </r>
  <r>
    <x v="871"/>
    <n v="197.19"/>
  </r>
  <r>
    <x v="872"/>
    <n v="196.81"/>
  </r>
  <r>
    <x v="873"/>
    <n v="196.05"/>
  </r>
  <r>
    <x v="874"/>
    <n v="201.12"/>
  </r>
  <r>
    <x v="875"/>
    <n v="199.72"/>
  </r>
  <r>
    <x v="876"/>
    <n v="199.72"/>
  </r>
  <r>
    <x v="877"/>
    <n v="199.72"/>
  </r>
  <r>
    <x v="878"/>
    <n v="203.03"/>
  </r>
  <r>
    <x v="879"/>
    <n v="203.93"/>
  </r>
  <r>
    <x v="880"/>
    <n v="205.49"/>
  </r>
  <r>
    <x v="881"/>
    <n v="207.41"/>
  </r>
  <r>
    <x v="882"/>
    <n v="207.59"/>
  </r>
  <r>
    <x v="883"/>
    <n v="207.59"/>
  </r>
  <r>
    <x v="884"/>
    <n v="207.59"/>
  </r>
  <r>
    <x v="885"/>
    <n v="207.15"/>
  </r>
  <r>
    <x v="886"/>
    <n v="204.97"/>
  </r>
  <r>
    <x v="887"/>
    <n v="207.9"/>
  </r>
  <r>
    <x v="888"/>
    <n v="210.22"/>
  </r>
  <r>
    <x v="889"/>
    <n v="212.23"/>
  </r>
  <r>
    <x v="890"/>
    <n v="212.23"/>
  </r>
  <r>
    <x v="891"/>
    <n v="212.23"/>
  </r>
  <r>
    <x v="892"/>
    <n v="211.71"/>
  </r>
  <r>
    <x v="893"/>
    <n v="210.88"/>
  </r>
  <r>
    <x v="894"/>
    <n v="214.63"/>
  </r>
  <r>
    <x v="895"/>
    <n v="214.67"/>
  </r>
  <r>
    <x v="896"/>
    <n v="216.66"/>
  </r>
  <r>
    <x v="897"/>
    <n v="216.66"/>
  </r>
  <r>
    <x v="898"/>
    <n v="216.66"/>
  </r>
  <r>
    <x v="899"/>
    <n v="223.75"/>
  </r>
  <r>
    <x v="900"/>
    <n v="216.85"/>
  </r>
  <r>
    <x v="901"/>
    <n v="218.84"/>
  </r>
  <r>
    <x v="902"/>
    <n v="219.09"/>
  </r>
  <r>
    <x v="903"/>
    <n v="212.74"/>
  </r>
  <r>
    <x v="904"/>
    <n v="212.74"/>
  </r>
  <r>
    <x v="905"/>
    <n v="212.74"/>
  </r>
  <r>
    <x v="906"/>
    <n v="212.32"/>
  </r>
  <r>
    <x v="907"/>
    <n v="206.58"/>
  </r>
  <r>
    <x v="908"/>
    <n v="203.6"/>
  </r>
  <r>
    <x v="909"/>
    <n v="204.11"/>
  </r>
  <r>
    <x v="910"/>
    <n v="202.46"/>
  </r>
  <r>
    <x v="911"/>
    <n v="202.46"/>
  </r>
  <r>
    <x v="912"/>
    <n v="202.46"/>
  </r>
  <r>
    <x v="913"/>
    <n v="200.74"/>
  </r>
  <r>
    <x v="914"/>
    <n v="201.96"/>
  </r>
  <r>
    <x v="915"/>
    <n v="202.46"/>
  </r>
  <r>
    <x v="916"/>
    <n v="202.78"/>
  </r>
  <r>
    <x v="917"/>
    <n v="203.84"/>
  </r>
  <r>
    <x v="918"/>
    <n v="203.84"/>
  </r>
  <r>
    <x v="919"/>
    <n v="203.84"/>
  </r>
  <r>
    <x v="920"/>
    <n v="202.09"/>
  </r>
  <r>
    <x v="921"/>
    <n v="199.07"/>
  </r>
  <r>
    <x v="922"/>
    <n v="197.4"/>
  </r>
  <r>
    <x v="923"/>
    <n v="198.26"/>
  </r>
  <r>
    <x v="924"/>
    <n v="197.8"/>
  </r>
  <r>
    <x v="925"/>
    <n v="197.8"/>
  </r>
  <r>
    <x v="926"/>
    <n v="197.8"/>
  </r>
  <r>
    <x v="927"/>
    <n v="197.8"/>
  </r>
  <r>
    <x v="928"/>
    <n v="196.03"/>
  </r>
  <r>
    <x v="929"/>
    <n v="193.34"/>
  </r>
  <r>
    <x v="930"/>
    <n v="194.53"/>
  </r>
  <r>
    <x v="931"/>
    <n v="197.97"/>
  </r>
  <r>
    <x v="932"/>
    <n v="197.97"/>
  </r>
  <r>
    <x v="933"/>
    <n v="197.97"/>
  </r>
  <r>
    <x v="934"/>
    <n v="199.21"/>
  </r>
  <r>
    <x v="935"/>
    <n v="199.84"/>
  </r>
  <r>
    <x v="936"/>
    <n v="202.17"/>
  </r>
  <r>
    <x v="937"/>
    <n v="200.41"/>
  </r>
  <r>
    <x v="938"/>
    <n v="199.22"/>
  </r>
  <r>
    <x v="939"/>
    <n v="199.22"/>
  </r>
  <r>
    <x v="940"/>
    <n v="199.22"/>
  </r>
  <r>
    <x v="941"/>
    <n v="191.64"/>
  </r>
  <r>
    <x v="942"/>
    <n v="191.69"/>
  </r>
  <r>
    <x v="943"/>
    <n v="194.39"/>
  </r>
  <r>
    <x v="944"/>
    <n v="195.55"/>
  </r>
  <r>
    <x v="945"/>
    <n v="197.1"/>
  </r>
  <r>
    <x v="946"/>
    <n v="197.1"/>
  </r>
  <r>
    <x v="947"/>
    <n v="197.1"/>
  </r>
  <r>
    <x v="948"/>
    <n v="195.98"/>
  </r>
  <r>
    <x v="949"/>
    <n v="198.1"/>
  </r>
  <r>
    <x v="950"/>
    <n v="198.1"/>
  </r>
  <r>
    <x v="951"/>
    <n v="201.96"/>
  </r>
  <r>
    <x v="952"/>
    <n v="203.25"/>
  </r>
  <r>
    <x v="953"/>
    <n v="203.25"/>
  </r>
  <r>
    <x v="954"/>
    <n v="203.25"/>
  </r>
  <r>
    <x v="955"/>
    <n v="203.33"/>
  </r>
  <r>
    <x v="956"/>
    <n v="200.6"/>
  </r>
  <r>
    <x v="957"/>
    <n v="200.72"/>
  </r>
  <r>
    <x v="958"/>
    <n v="196.94"/>
  </r>
  <r>
    <x v="959"/>
    <n v="200.17"/>
  </r>
  <r>
    <x v="960"/>
    <n v="200.17"/>
  </r>
  <r>
    <x v="961"/>
    <n v="200.17"/>
  </r>
  <r>
    <x v="962"/>
    <n v="203.55"/>
  </r>
  <r>
    <x v="963"/>
    <n v="204.88"/>
  </r>
  <r>
    <x v="964"/>
    <n v="205.82"/>
  </r>
  <r>
    <x v="965"/>
    <n v="203.03"/>
  </r>
  <r>
    <x v="966"/>
    <n v="203.03"/>
  </r>
  <r>
    <x v="967"/>
    <n v="203.03"/>
  </r>
  <r>
    <x v="968"/>
    <n v="203.03"/>
  </r>
  <r>
    <x v="969"/>
    <n v="204.52"/>
  </r>
  <r>
    <x v="970"/>
    <n v="200"/>
  </r>
  <r>
    <x v="971"/>
    <n v="200.3"/>
  </r>
  <r>
    <x v="972"/>
    <n v="188.78"/>
  </r>
  <r>
    <x v="973"/>
    <n v="183.98"/>
  </r>
  <r>
    <x v="974"/>
    <n v="183.98"/>
  </r>
  <r>
    <x v="975"/>
    <n v="183.98"/>
  </r>
  <r>
    <x v="976"/>
    <n v="183.23"/>
  </r>
  <r>
    <x v="977"/>
    <n v="182.74"/>
  </r>
  <r>
    <x v="978"/>
    <n v="182.46"/>
  </r>
  <r>
    <x v="979"/>
    <n v="181.86"/>
  </r>
  <r>
    <x v="980"/>
    <n v="181.26"/>
  </r>
  <r>
    <x v="981"/>
    <n v="181.26"/>
  </r>
  <r>
    <x v="982"/>
    <n v="181.26"/>
  </r>
  <r>
    <x v="983"/>
    <n v="180.56"/>
  </r>
  <r>
    <x v="984"/>
    <n v="180.07"/>
  </r>
  <r>
    <x v="985"/>
    <n v="179.32"/>
  </r>
  <r>
    <x v="986"/>
    <n v="179.22"/>
  </r>
  <r>
    <x v="987"/>
    <n v="179.22"/>
  </r>
  <r>
    <x v="988"/>
    <n v="179.22"/>
  </r>
  <r>
    <x v="989"/>
    <n v="179.22"/>
  </r>
  <r>
    <x v="990"/>
    <n v="179.23"/>
  </r>
  <r>
    <x v="991"/>
    <n v="179.23"/>
  </r>
  <r>
    <x v="992"/>
    <n v="179.24"/>
  </r>
  <r>
    <x v="993"/>
    <n v="179.23"/>
  </r>
  <r>
    <x v="994"/>
    <n v="179.23"/>
  </r>
  <r>
    <x v="995"/>
    <n v="179.23"/>
  </r>
  <r>
    <x v="996"/>
    <n v="179.23"/>
  </r>
  <r>
    <x v="997"/>
    <n v="178.83"/>
  </r>
  <r>
    <x v="998"/>
    <n v="178.6"/>
  </r>
  <r>
    <x v="999"/>
    <n v="178.36"/>
  </r>
  <r>
    <x v="1000"/>
    <n v="178.02"/>
  </r>
  <r>
    <x v="1001"/>
    <n v="177.68"/>
  </r>
  <r>
    <x v="1002"/>
    <n v="177.68"/>
  </r>
  <r>
    <x v="1003"/>
    <n v="177.68"/>
  </r>
  <r>
    <x v="1004"/>
    <n v="177.43"/>
  </r>
  <r>
    <x v="1005"/>
    <n v="177.1"/>
  </r>
  <r>
    <x v="1006"/>
    <n v="176.78"/>
  </r>
  <r>
    <x v="1007"/>
    <n v="176.45"/>
  </r>
  <r>
    <x v="1008"/>
    <n v="176.45"/>
  </r>
  <r>
    <x v="1009"/>
    <n v="176.45"/>
  </r>
  <r>
    <x v="1010"/>
    <n v="176.45"/>
  </r>
  <r>
    <x v="1011"/>
    <n v="176.45"/>
  </r>
  <r>
    <x v="1012"/>
    <n v="176.33"/>
  </r>
  <r>
    <x v="1013"/>
    <n v="176.34"/>
  </r>
  <r>
    <x v="1014"/>
    <n v="175.89"/>
  </r>
  <r>
    <x v="1015"/>
    <n v="175.47"/>
  </r>
  <r>
    <x v="1016"/>
    <n v="175.47"/>
  </r>
  <r>
    <x v="1017"/>
    <n v="175.47"/>
  </r>
  <r>
    <x v="1018"/>
    <n v="175.03"/>
  </r>
  <r>
    <x v="1019"/>
    <n v="174.64"/>
  </r>
  <r>
    <x v="1020"/>
    <n v="174.41"/>
  </r>
  <r>
    <x v="1021"/>
    <n v="173.92"/>
  </r>
  <r>
    <x v="1022"/>
    <n v="173.42"/>
  </r>
  <r>
    <x v="1023"/>
    <n v="173.42"/>
  </r>
  <r>
    <x v="1024"/>
    <n v="173.42"/>
  </r>
  <r>
    <x v="1025"/>
    <n v="173.33"/>
  </r>
  <r>
    <x v="1026"/>
    <n v="172.99"/>
  </r>
  <r>
    <x v="1027"/>
    <n v="172.67"/>
  </r>
  <r>
    <x v="1028"/>
    <n v="172.68"/>
  </r>
  <r>
    <x v="1029"/>
    <n v="172.44"/>
  </r>
  <r>
    <x v="1030"/>
    <n v="172.44"/>
  </r>
  <r>
    <x v="1031"/>
    <n v="172.44"/>
  </r>
  <r>
    <x v="1032"/>
    <n v="172.32"/>
  </r>
  <r>
    <x v="1033"/>
    <n v="171.83"/>
  </r>
  <r>
    <x v="1034"/>
    <n v="171.44"/>
  </r>
  <r>
    <x v="1035"/>
    <n v="171.04"/>
  </r>
  <r>
    <x v="1036"/>
    <n v="170.65"/>
  </r>
  <r>
    <x v="1037"/>
    <n v="170.65"/>
  </r>
  <r>
    <x v="1038"/>
    <n v="170.65"/>
  </r>
  <r>
    <x v="1039"/>
    <n v="170.67"/>
  </r>
  <r>
    <x v="1040"/>
    <n v="170.68"/>
  </r>
  <r>
    <x v="1041"/>
    <n v="171.2"/>
  </r>
  <r>
    <x v="1042"/>
    <n v="170.82"/>
  </r>
  <r>
    <x v="1043"/>
    <n v="170.58"/>
  </r>
  <r>
    <x v="1044"/>
    <n v="170.58"/>
  </r>
  <r>
    <x v="1045"/>
    <n v="170.58"/>
  </r>
  <r>
    <x v="1046"/>
    <n v="170.58"/>
  </r>
  <r>
    <x v="1047"/>
    <n v="170.42"/>
  </r>
  <r>
    <x v="1048"/>
    <n v="170.26"/>
  </r>
  <r>
    <x v="1049"/>
    <n v="169.98"/>
  </r>
  <r>
    <x v="1050"/>
    <n v="169.97"/>
  </r>
  <r>
    <x v="1051"/>
    <n v="169.97"/>
  </r>
  <r>
    <x v="1052"/>
    <n v="169.97"/>
  </r>
  <r>
    <x v="1053"/>
    <n v="169.96"/>
  </r>
  <r>
    <x v="1054"/>
    <n v="169.66"/>
  </r>
  <r>
    <x v="1055"/>
    <n v="169.43"/>
  </r>
  <r>
    <x v="1056"/>
    <n v="169.46"/>
  </r>
  <r>
    <x v="1057"/>
    <n v="169.32"/>
  </r>
  <r>
    <x v="1058"/>
    <n v="169.32"/>
  </r>
  <r>
    <x v="1059"/>
    <n v="169.32"/>
  </r>
  <r>
    <x v="1060"/>
    <n v="169.36"/>
  </r>
  <r>
    <x v="1061"/>
    <n v="169.39"/>
  </r>
  <r>
    <x v="1062"/>
    <n v="169.41"/>
  </r>
  <r>
    <x v="1063"/>
    <n v="169.45"/>
  </r>
  <r>
    <x v="1064"/>
    <n v="169.45"/>
  </r>
  <r>
    <x v="1065"/>
    <n v="169.45"/>
  </r>
  <r>
    <x v="1066"/>
    <n v="169.45"/>
  </r>
  <r>
    <x v="1067"/>
    <n v="169.62"/>
  </r>
  <r>
    <x v="1068"/>
    <n v="170.03"/>
  </r>
  <r>
    <x v="1069"/>
    <n v="169.87"/>
  </r>
  <r>
    <x v="1070"/>
    <n v="169.94"/>
  </r>
  <r>
    <x v="1071"/>
    <n v="170.09"/>
  </r>
  <r>
    <x v="1072"/>
    <n v="170.09"/>
  </r>
  <r>
    <x v="1073"/>
    <n v="170.09"/>
  </r>
  <r>
    <x v="1074"/>
    <n v="169.93"/>
  </r>
  <r>
    <x v="1075"/>
    <n v="169.73"/>
  </r>
  <r>
    <x v="1076"/>
    <n v="169.57"/>
  </r>
  <r>
    <x v="1077"/>
    <n v="168.67"/>
  </r>
  <r>
    <x v="1078"/>
    <n v="168.19"/>
  </r>
  <r>
    <x v="1079"/>
    <n v="168.19"/>
  </r>
  <r>
    <x v="1080"/>
    <n v="168.19"/>
  </r>
  <r>
    <x v="1081"/>
    <n v="167.9"/>
  </r>
  <r>
    <x v="1082"/>
    <n v="167.9"/>
  </r>
  <r>
    <x v="1083"/>
    <n v="167.36"/>
  </r>
  <r>
    <x v="1084"/>
    <n v="166.81"/>
  </r>
  <r>
    <x v="1085"/>
    <n v="166.48"/>
  </r>
  <r>
    <x v="1086"/>
    <n v="166.48"/>
  </r>
  <r>
    <x v="1087"/>
    <n v="166.48"/>
  </r>
  <r>
    <x v="1088"/>
    <n v="166.39"/>
  </r>
  <r>
    <x v="1089"/>
    <n v="166.3"/>
  </r>
  <r>
    <x v="1090"/>
    <n v="166.07"/>
  </r>
  <r>
    <x v="1091"/>
    <n v="165.79"/>
  </r>
  <r>
    <x v="1092"/>
    <n v="165.5"/>
  </r>
  <r>
    <x v="1093"/>
    <n v="165.5"/>
  </r>
  <r>
    <x v="1094"/>
    <n v="165.5"/>
  </r>
  <r>
    <x v="1095"/>
    <n v="165.26"/>
  </r>
  <r>
    <x v="1096"/>
    <n v="165.29"/>
  </r>
  <r>
    <x v="1097"/>
    <n v="165.38"/>
  </r>
  <r>
    <x v="1098"/>
    <n v="166.05"/>
  </r>
  <r>
    <x v="1099"/>
    <n v="166.42"/>
  </r>
  <r>
    <x v="1100"/>
    <n v="166.42"/>
  </r>
  <r>
    <x v="1101"/>
    <n v="166.42"/>
  </r>
  <r>
    <x v="1102"/>
    <n v="166.42"/>
  </r>
  <r>
    <x v="1103"/>
    <n v="166.2"/>
  </r>
  <r>
    <x v="1104"/>
    <n v="165.98"/>
  </r>
  <r>
    <x v="1105"/>
    <n v="166.45"/>
  </r>
  <r>
    <x v="1106"/>
    <n v="166.35"/>
  </r>
  <r>
    <x v="1107"/>
    <n v="166.35"/>
  </r>
  <r>
    <x v="1108"/>
    <n v="166.35"/>
  </r>
  <r>
    <x v="1109"/>
    <n v="165.77"/>
  </r>
  <r>
    <x v="1110"/>
    <n v="163.57"/>
  </r>
  <r>
    <x v="1111"/>
    <n v="163.75"/>
  </r>
  <r>
    <x v="1112"/>
    <n v="162.78"/>
  </r>
  <r>
    <x v="1113"/>
    <n v="163.53"/>
  </r>
  <r>
    <x v="1114"/>
    <n v="163.53"/>
  </r>
  <r>
    <x v="1115"/>
    <n v="163.53"/>
  </r>
  <r>
    <x v="1116"/>
    <n v="162.03"/>
  </r>
  <r>
    <x v="1117"/>
    <n v="160.91999999999999"/>
  </r>
  <r>
    <x v="1118"/>
    <n v="160.63"/>
  </r>
  <r>
    <x v="1119"/>
    <n v="159.84"/>
  </r>
  <r>
    <x v="1120"/>
    <n v="159.84"/>
  </r>
  <r>
    <x v="1121"/>
    <n v="159.84"/>
  </r>
  <r>
    <x v="1122"/>
    <n v="159.84"/>
  </r>
  <r>
    <x v="1123"/>
    <n v="160.41"/>
  </r>
  <r>
    <x v="1124"/>
    <n v="159.19"/>
  </r>
  <r>
    <x v="1125"/>
    <n v="158.72"/>
  </r>
  <r>
    <x v="1126"/>
    <n v="157.94999999999999"/>
  </r>
  <r>
    <x v="1127"/>
    <n v="158.09"/>
  </r>
  <r>
    <x v="1128"/>
    <n v="158.09"/>
  </r>
  <r>
    <x v="1129"/>
    <n v="158.09"/>
  </r>
  <r>
    <x v="1130"/>
    <n v="159.07"/>
  </r>
  <r>
    <x v="1131"/>
    <n v="159.68"/>
  </r>
  <r>
    <x v="1132"/>
    <n v="160.47999999999999"/>
  </r>
  <r>
    <x v="1133"/>
    <n v="160.55000000000001"/>
  </r>
  <r>
    <x v="1134"/>
    <n v="160.86000000000001"/>
  </r>
  <r>
    <x v="1135"/>
    <n v="160.86000000000001"/>
  </r>
  <r>
    <x v="1136"/>
    <n v="160.86000000000001"/>
  </r>
  <r>
    <x v="1137"/>
    <n v="161.33000000000001"/>
  </r>
  <r>
    <x v="1138"/>
    <n v="161.71"/>
  </r>
  <r>
    <x v="1139"/>
    <n v="160.96"/>
  </r>
  <r>
    <x v="1140"/>
    <n v="160.22999999999999"/>
  </r>
  <r>
    <x v="1141"/>
    <n v="159.49"/>
  </r>
  <r>
    <x v="1142"/>
    <n v="159.49"/>
  </r>
  <r>
    <x v="1143"/>
    <n v="159.49"/>
  </r>
  <r>
    <x v="1144"/>
    <n v="158.72"/>
  </r>
  <r>
    <x v="1145"/>
    <n v="158.05000000000001"/>
  </r>
  <r>
    <x v="1146"/>
    <n v="158.37"/>
  </r>
  <r>
    <x v="1147"/>
    <n v="158.37"/>
  </r>
  <r>
    <x v="1148"/>
    <n v="158.37"/>
  </r>
  <r>
    <x v="1149"/>
    <n v="158.37"/>
  </r>
  <r>
    <x v="1150"/>
    <n v="158.37"/>
  </r>
  <r>
    <x v="1151"/>
    <n v="157.22"/>
  </r>
  <r>
    <x v="1152"/>
    <n v="156.49"/>
  </r>
  <r>
    <x v="1153"/>
    <n v="154.65"/>
  </r>
  <r>
    <x v="1154"/>
    <n v="154.65"/>
  </r>
  <r>
    <x v="1155"/>
    <n v="154.16999999999999"/>
  </r>
  <r>
    <x v="1156"/>
    <n v="154.16999999999999"/>
  </r>
  <r>
    <x v="1157"/>
    <n v="154.16999999999999"/>
  </r>
  <r>
    <x v="1158"/>
    <n v="153.71"/>
  </r>
  <r>
    <x v="1159"/>
    <n v="153.21"/>
  </r>
  <r>
    <x v="1160"/>
    <n v="153.16"/>
  </r>
  <r>
    <x v="1161"/>
    <n v="153.94999999999999"/>
  </r>
  <r>
    <x v="1162"/>
    <n v="154.4"/>
  </r>
  <r>
    <x v="1163"/>
    <n v="154.4"/>
  </r>
  <r>
    <x v="1164"/>
    <n v="154.4"/>
  </r>
  <r>
    <x v="1165"/>
    <n v="154.30000000000001"/>
  </r>
  <r>
    <x v="1166"/>
    <n v="153.82"/>
  </r>
  <r>
    <x v="1167"/>
    <n v="153.33000000000001"/>
  </r>
  <r>
    <x v="1168"/>
    <n v="152.96"/>
  </r>
  <r>
    <x v="1169"/>
    <n v="152.19"/>
  </r>
  <r>
    <x v="1170"/>
    <n v="152.19"/>
  </r>
  <r>
    <x v="1171"/>
    <n v="152.19"/>
  </r>
  <r>
    <x v="1172"/>
    <n v="152.19999999999999"/>
  </r>
  <r>
    <x v="1173"/>
    <n v="151.80000000000001"/>
  </r>
  <r>
    <x v="1174"/>
    <n v="151.49"/>
  </r>
  <r>
    <x v="1175"/>
    <n v="150.27000000000001"/>
  </r>
  <r>
    <x v="1176"/>
    <n v="148.36000000000001"/>
  </r>
  <r>
    <x v="1177"/>
    <n v="148.36000000000001"/>
  </r>
  <r>
    <x v="1178"/>
    <n v="148.36000000000001"/>
  </r>
  <r>
    <x v="1179"/>
    <n v="145.5"/>
  </r>
  <r>
    <x v="1180"/>
    <n v="145.44"/>
  </r>
  <r>
    <x v="1181"/>
    <n v="145.94"/>
  </r>
  <r>
    <x v="1182"/>
    <n v="144.37"/>
  </r>
  <r>
    <x v="1183"/>
    <n v="143.71"/>
  </r>
  <r>
    <x v="1184"/>
    <n v="143.71"/>
  </r>
  <r>
    <x v="1185"/>
    <n v="143.71"/>
  </r>
  <r>
    <x v="1186"/>
    <n v="143.65"/>
  </r>
  <r>
    <x v="1187"/>
    <n v="143.80000000000001"/>
  </r>
  <r>
    <x v="1188"/>
    <n v="142.79"/>
  </r>
  <r>
    <x v="1189"/>
    <n v="143.26"/>
  </r>
  <r>
    <x v="1190"/>
    <n v="144.38"/>
  </r>
  <r>
    <x v="1191"/>
    <n v="144.38"/>
  </r>
  <r>
    <x v="1192"/>
    <n v="144.38"/>
  </r>
  <r>
    <x v="1193"/>
    <n v="144.66"/>
  </r>
  <r>
    <x v="1194"/>
    <n v="143.77000000000001"/>
  </r>
  <r>
    <x v="1195"/>
    <n v="143.66"/>
  </r>
  <r>
    <x v="1196"/>
    <n v="141.81"/>
  </r>
  <r>
    <x v="1197"/>
    <n v="142.19"/>
  </r>
  <r>
    <x v="1198"/>
    <n v="142.19"/>
  </r>
  <r>
    <x v="1199"/>
    <n v="142.19"/>
  </r>
  <r>
    <x v="1200"/>
    <n v="142.19"/>
  </r>
  <r>
    <x v="1201"/>
    <n v="142.19"/>
  </r>
  <r>
    <x v="1202"/>
    <n v="140.38999999999999"/>
  </r>
  <r>
    <x v="1203"/>
    <n v="138.47999999999999"/>
  </r>
  <r>
    <x v="1204"/>
    <n v="138.44999999999999"/>
  </r>
  <r>
    <x v="1205"/>
    <n v="138.44999999999999"/>
  </r>
  <r>
    <x v="1206"/>
    <n v="138.44999999999999"/>
  </r>
  <r>
    <x v="1207"/>
    <n v="141.19"/>
  </r>
  <r>
    <x v="1208"/>
    <n v="142.78"/>
  </r>
  <r>
    <x v="1209"/>
    <n v="142.78"/>
  </r>
  <r>
    <x v="1210"/>
    <n v="143.15"/>
  </r>
  <r>
    <x v="1211"/>
    <n v="144"/>
  </r>
  <r>
    <x v="1212"/>
    <n v="144"/>
  </r>
  <r>
    <x v="1213"/>
    <n v="144"/>
  </r>
  <r>
    <x v="1214"/>
    <n v="144.71"/>
  </r>
  <r>
    <x v="1215"/>
    <n v="145.28"/>
  </r>
  <r>
    <x v="1216"/>
    <n v="144.6"/>
  </r>
  <r>
    <x v="1217"/>
    <n v="144.59"/>
  </r>
  <r>
    <x v="1218"/>
    <n v="144.84"/>
  </r>
  <r>
    <x v="1219"/>
    <n v="144.84"/>
  </r>
  <r>
    <x v="1220"/>
    <n v="144.84"/>
  </r>
  <r>
    <x v="1221"/>
    <n v="144.30000000000001"/>
  </r>
  <r>
    <x v="1222"/>
    <n v="144.43"/>
  </r>
  <r>
    <x v="1223"/>
    <n v="145.38999999999999"/>
  </r>
  <r>
    <x v="1224"/>
    <n v="145.87"/>
  </r>
  <r>
    <x v="1225"/>
    <n v="145.87"/>
  </r>
  <r>
    <x v="1226"/>
    <n v="145.87"/>
  </r>
  <r>
    <x v="1227"/>
    <n v="145.87"/>
  </r>
  <r>
    <x v="1228"/>
    <n v="145.11000000000001"/>
  </r>
  <r>
    <x v="1229"/>
    <n v="146.11000000000001"/>
  </r>
  <r>
    <x v="1230"/>
    <n v="146.13"/>
  </r>
  <r>
    <x v="1231"/>
    <n v="143.80000000000001"/>
  </r>
  <r>
    <x v="1232"/>
    <n v="141.91999999999999"/>
  </r>
  <r>
    <x v="1233"/>
    <n v="141.91999999999999"/>
  </r>
  <r>
    <x v="1234"/>
    <n v="141.91999999999999"/>
  </r>
  <r>
    <x v="1235"/>
    <n v="141.91999999999999"/>
  </r>
  <r>
    <x v="1236"/>
    <n v="140.94"/>
  </r>
  <r>
    <x v="1237"/>
    <n v="139.86000000000001"/>
  </r>
  <r>
    <x v="1238"/>
    <n v="138.79"/>
  </r>
  <r>
    <x v="1239"/>
    <n v="140.65"/>
  </r>
  <r>
    <x v="1240"/>
    <n v="140.65"/>
  </r>
  <r>
    <x v="1241"/>
    <n v="140.65"/>
  </r>
  <r>
    <x v="1242"/>
    <n v="141.77000000000001"/>
  </r>
  <r>
    <x v="1243"/>
    <n v="143.47"/>
  </r>
  <r>
    <x v="1244"/>
    <n v="147.65"/>
  </r>
  <r>
    <x v="1245"/>
    <n v="147.65"/>
  </r>
  <r>
    <x v="1246"/>
    <n v="147.65"/>
  </r>
  <r>
    <x v="1247"/>
    <n v="147.65"/>
  </r>
  <r>
    <x v="1248"/>
    <n v="147.65"/>
  </r>
  <r>
    <x v="1249"/>
    <n v="148.34"/>
  </r>
  <r>
    <x v="1250"/>
    <n v="149.75"/>
  </r>
  <r>
    <x v="1251"/>
    <n v="150"/>
  </r>
  <r>
    <x v="1252"/>
    <n v="149.6"/>
  </r>
  <r>
    <x v="1253"/>
    <n v="149.6"/>
  </r>
  <r>
    <x v="1254"/>
    <n v="149.6"/>
  </r>
  <r>
    <x v="1255"/>
    <n v="149.6"/>
  </r>
  <r>
    <x v="1256"/>
    <n v="149.84"/>
  </r>
  <r>
    <x v="1257"/>
    <n v="149.34"/>
  </r>
  <r>
    <x v="1258"/>
    <n v="148.83000000000001"/>
  </r>
  <r>
    <x v="1259"/>
    <n v="148.33000000000001"/>
  </r>
  <r>
    <x v="1260"/>
    <n v="147.88"/>
  </r>
  <r>
    <x v="1261"/>
    <n v="147.88"/>
  </r>
  <r>
    <x v="1262"/>
    <n v="147.88"/>
  </r>
  <r>
    <x v="1263"/>
    <n v="147.9"/>
  </r>
  <r>
    <x v="1264"/>
    <n v="147.38"/>
  </r>
  <r>
    <x v="1265"/>
    <n v="146.88999999999999"/>
  </r>
  <r>
    <x v="1266"/>
    <n v="146.38"/>
  </r>
  <r>
    <x v="1267"/>
    <n v="145.88"/>
  </r>
  <r>
    <x v="1268"/>
    <n v="145.88"/>
  </r>
  <r>
    <x v="1269"/>
    <n v="145.88"/>
  </r>
  <r>
    <x v="1270"/>
    <n v="145.96"/>
  </r>
  <r>
    <x v="1271"/>
    <n v="145.72"/>
  </r>
  <r>
    <x v="1272"/>
    <n v="145.47999999999999"/>
  </r>
  <r>
    <x v="1273"/>
    <n v="145.36000000000001"/>
  </r>
  <r>
    <x v="1274"/>
    <n v="145.38999999999999"/>
  </r>
  <r>
    <x v="1275"/>
    <n v="145.38999999999999"/>
  </r>
  <r>
    <x v="1276"/>
    <n v="145.38999999999999"/>
  </r>
  <r>
    <x v="1277"/>
    <n v="145.41999999999999"/>
  </r>
  <r>
    <x v="1278"/>
    <n v="144.72"/>
  </r>
  <r>
    <x v="1279"/>
    <n v="144.97999999999999"/>
  </r>
  <r>
    <x v="1280"/>
    <n v="145.80000000000001"/>
  </r>
  <r>
    <x v="1281"/>
    <n v="145.06"/>
  </r>
  <r>
    <x v="1282"/>
    <n v="145.06"/>
  </r>
  <r>
    <x v="1283"/>
    <n v="145.06"/>
  </r>
  <r>
    <x v="1284"/>
    <n v="145.84"/>
  </r>
  <r>
    <x v="1285"/>
    <n v="144.38999999999999"/>
  </r>
  <r>
    <x v="1286"/>
    <n v="143.55000000000001"/>
  </r>
  <r>
    <x v="1287"/>
    <n v="142.32"/>
  </r>
  <r>
    <x v="1288"/>
    <n v="139.99"/>
  </r>
  <r>
    <x v="1289"/>
    <n v="139.99"/>
  </r>
  <r>
    <x v="1290"/>
    <n v="139.99"/>
  </r>
  <r>
    <x v="1291"/>
    <n v="139.99"/>
  </r>
  <r>
    <x v="1292"/>
    <n v="139.99"/>
  </r>
  <r>
    <x v="1293"/>
    <n v="140.04"/>
  </r>
  <r>
    <x v="1294"/>
    <n v="140"/>
  </r>
  <r>
    <x v="1295"/>
    <n v="140.35"/>
  </r>
  <r>
    <x v="1296"/>
    <n v="140.35"/>
  </r>
  <r>
    <x v="1297"/>
    <n v="140.35"/>
  </r>
  <r>
    <x v="1298"/>
    <n v="140.35"/>
  </r>
  <r>
    <x v="1299"/>
    <n v="140.35"/>
  </r>
  <r>
    <x v="1300"/>
    <n v="140.04"/>
  </r>
  <r>
    <x v="1301"/>
    <n v="138.81"/>
  </r>
  <r>
    <x v="1302"/>
    <n v="140.72999999999999"/>
  </r>
  <r>
    <x v="1303"/>
    <n v="140.72999999999999"/>
  </r>
  <r>
    <x v="1304"/>
    <n v="140.72999999999999"/>
  </r>
  <r>
    <x v="1305"/>
    <n v="140.79"/>
  </r>
  <r>
    <x v="1306"/>
    <n v="141.26"/>
  </r>
  <r>
    <x v="1307"/>
    <n v="141.82"/>
  </r>
  <r>
    <x v="1308"/>
    <n v="140.29"/>
  </r>
  <r>
    <x v="1309"/>
    <n v="138.22"/>
  </r>
  <r>
    <x v="1310"/>
    <n v="138.22"/>
  </r>
  <r>
    <x v="1311"/>
    <n v="138.22"/>
  </r>
  <r>
    <x v="1312"/>
    <n v="138.22"/>
  </r>
  <r>
    <x v="1313"/>
    <n v="139.49"/>
  </r>
  <r>
    <x v="1314"/>
    <n v="142.05000000000001"/>
  </r>
  <r>
    <x v="1315"/>
    <n v="142.05000000000001"/>
  </r>
  <r>
    <x v="1316"/>
    <n v="142.05000000000001"/>
  </r>
  <r>
    <x v="1317"/>
    <n v="142.05000000000001"/>
  </r>
  <r>
    <x v="1318"/>
    <n v="142.05000000000001"/>
  </r>
  <r>
    <x v="1319"/>
    <n v="139.74"/>
  </r>
  <r>
    <x v="1320"/>
    <n v="144.36000000000001"/>
  </r>
  <r>
    <x v="1321"/>
    <n v="144.69999999999999"/>
  </r>
  <r>
    <x v="1322"/>
    <n v="144.55000000000001"/>
  </r>
  <r>
    <x v="1323"/>
    <n v="145.44999999999999"/>
  </r>
  <r>
    <x v="1324"/>
    <n v="145.44999999999999"/>
  </r>
  <r>
    <x v="1325"/>
    <n v="145.44999999999999"/>
  </r>
  <r>
    <x v="1326"/>
    <n v="146.59"/>
  </r>
  <r>
    <x v="1327"/>
    <n v="146.68"/>
  </r>
  <r>
    <x v="1328"/>
    <n v="147.88"/>
  </r>
  <r>
    <x v="1329"/>
    <n v="147.16999999999999"/>
  </r>
  <r>
    <x v="1330"/>
    <n v="147.16999999999999"/>
  </r>
  <r>
    <x v="1331"/>
    <n v="147.16999999999999"/>
  </r>
  <r>
    <x v="1332"/>
    <n v="147.16999999999999"/>
  </r>
  <r>
    <x v="1333"/>
    <n v="146.53"/>
  </r>
  <r>
    <x v="1334"/>
    <n v="145.94999999999999"/>
  </r>
  <r>
    <x v="1335"/>
    <n v="144.1"/>
  </r>
  <r>
    <x v="1336"/>
    <n v="142.82"/>
  </r>
  <r>
    <x v="1337"/>
    <n v="141.22999999999999"/>
  </r>
  <r>
    <x v="1338"/>
    <n v="141.22999999999999"/>
  </r>
  <r>
    <x v="1339"/>
    <n v="141.22999999999999"/>
  </r>
  <r>
    <x v="1340"/>
    <n v="141.5"/>
  </r>
  <r>
    <x v="1341"/>
    <n v="145.54"/>
  </r>
  <r>
    <x v="1342"/>
    <n v="141.43"/>
  </r>
  <r>
    <x v="1343"/>
    <n v="141.97999999999999"/>
  </r>
  <r>
    <x v="1344"/>
    <n v="141.58000000000001"/>
  </r>
  <r>
    <x v="1345"/>
    <n v="141.58000000000001"/>
  </r>
  <r>
    <x v="1346"/>
    <n v="141.58000000000001"/>
  </r>
  <r>
    <x v="1347"/>
    <n v="141.88"/>
  </r>
  <r>
    <x v="1348"/>
    <n v="139.75"/>
  </r>
  <r>
    <x v="1349"/>
    <n v="140.18"/>
  </r>
  <r>
    <x v="1350"/>
    <n v="139.22999999999999"/>
  </r>
  <r>
    <x v="1351"/>
    <n v="143.22999999999999"/>
  </r>
  <r>
    <x v="1352"/>
    <n v="143.22999999999999"/>
  </r>
  <r>
    <x v="1353"/>
    <n v="143.22999999999999"/>
  </r>
  <r>
    <x v="1354"/>
    <n v="144.04"/>
  </r>
  <r>
    <x v="1355"/>
    <n v="144.85"/>
  </r>
  <r>
    <x v="1356"/>
    <n v="152.97999999999999"/>
  </r>
  <r>
    <x v="1357"/>
    <n v="157.21"/>
  </r>
  <r>
    <x v="1358"/>
    <n v="155.16999999999999"/>
  </r>
  <r>
    <x v="1359"/>
    <n v="155.16999999999999"/>
  </r>
  <r>
    <x v="1360"/>
    <n v="155.16999999999999"/>
  </r>
  <r>
    <x v="1361"/>
    <n v="163.09"/>
  </r>
  <r>
    <x v="1362"/>
    <n v="162.66"/>
  </r>
  <r>
    <x v="1363"/>
    <n v="160.91999999999999"/>
  </r>
  <r>
    <x v="1364"/>
    <n v="153.4"/>
  </r>
  <r>
    <x v="1365"/>
    <n v="152.07"/>
  </r>
  <r>
    <x v="1366"/>
    <n v="152.07"/>
  </r>
  <r>
    <x v="1367"/>
    <n v="152.07"/>
  </r>
  <r>
    <x v="1368"/>
    <n v="154.97"/>
  </r>
  <r>
    <x v="1369"/>
    <n v="150.28"/>
  </r>
  <r>
    <x v="1370"/>
    <n v="144.94999999999999"/>
  </r>
  <r>
    <x v="1371"/>
    <n v="143.41999999999999"/>
  </r>
  <r>
    <x v="1372"/>
    <n v="143.41999999999999"/>
  </r>
  <r>
    <x v="1373"/>
    <n v="143.41999999999999"/>
  </r>
  <r>
    <x v="1374"/>
    <n v="143.41999999999999"/>
  </r>
  <r>
    <x v="1375"/>
    <n v="140.94"/>
  </r>
  <r>
    <x v="1376"/>
    <n v="138.97"/>
  </r>
  <r>
    <x v="1377"/>
    <n v="140.16"/>
  </r>
  <r>
    <x v="1378"/>
    <n v="140.79"/>
  </r>
  <r>
    <x v="1379"/>
    <n v="138.15"/>
  </r>
  <r>
    <x v="1380"/>
    <n v="138.15"/>
  </r>
  <r>
    <x v="1381"/>
    <n v="138.15"/>
  </r>
  <r>
    <x v="1382"/>
    <n v="139.04"/>
  </r>
  <r>
    <x v="1383"/>
    <n v="138.79"/>
  </r>
  <r>
    <x v="1384"/>
    <n v="138.80000000000001"/>
  </r>
  <r>
    <x v="1385"/>
    <n v="137.31"/>
  </r>
  <r>
    <x v="1386"/>
    <n v="135.29"/>
  </r>
  <r>
    <x v="1387"/>
    <n v="135.29"/>
  </r>
  <r>
    <x v="1388"/>
    <n v="135.29"/>
  </r>
  <r>
    <x v="1389"/>
    <n v="130.87"/>
  </r>
  <r>
    <x v="1390"/>
    <n v="134.69"/>
  </r>
  <r>
    <x v="1391"/>
    <n v="134.38999999999999"/>
  </r>
  <r>
    <x v="1392"/>
    <n v="130.97999999999999"/>
  </r>
  <r>
    <x v="1393"/>
    <n v="129.72"/>
  </r>
  <r>
    <x v="1394"/>
    <n v="129.72"/>
  </r>
  <r>
    <x v="1395"/>
    <n v="129.72"/>
  </r>
  <r>
    <x v="1396"/>
    <n v="126.33"/>
  </r>
  <r>
    <x v="1397"/>
    <n v="127.61"/>
  </r>
  <r>
    <x v="1398"/>
    <n v="122.06"/>
  </r>
  <r>
    <x v="1399"/>
    <n v="123.21"/>
  </r>
  <r>
    <x v="1400"/>
    <n v="125.17"/>
  </r>
  <r>
    <x v="1401"/>
    <n v="125.17"/>
  </r>
  <r>
    <x v="1402"/>
    <n v="125.17"/>
  </r>
  <r>
    <x v="1403"/>
    <n v="123.41"/>
  </r>
  <r>
    <x v="1404"/>
    <n v="119.67"/>
  </r>
  <r>
    <x v="1405"/>
    <n v="116.41"/>
  </r>
  <r>
    <x v="1406"/>
    <n v="117.84"/>
  </r>
  <r>
    <x v="1407"/>
    <n v="120"/>
  </r>
  <r>
    <x v="1408"/>
    <n v="120"/>
  </r>
  <r>
    <x v="1409"/>
    <n v="120"/>
  </r>
  <r>
    <x v="1410"/>
    <n v="119.51"/>
  </r>
  <r>
    <x v="1411"/>
    <n v="119.72"/>
  </r>
  <r>
    <x v="1412"/>
    <n v="117.64"/>
  </r>
  <r>
    <x v="1413"/>
    <n v="121.57"/>
  </r>
  <r>
    <x v="1414"/>
    <n v="121.73"/>
  </r>
  <r>
    <x v="1415"/>
    <n v="121.73"/>
  </r>
  <r>
    <x v="1416"/>
    <n v="121.73"/>
  </r>
  <r>
    <x v="1417"/>
    <n v="122.29"/>
  </r>
  <r>
    <x v="1418"/>
    <n v="125.16"/>
  </r>
  <r>
    <x v="1419"/>
    <n v="127.69"/>
  </r>
  <r>
    <x v="1420"/>
    <n v="130.33000000000001"/>
  </r>
  <r>
    <x v="1421"/>
    <n v="129.52000000000001"/>
  </r>
  <r>
    <x v="1422"/>
    <n v="129.52000000000001"/>
  </r>
  <r>
    <x v="1423"/>
    <n v="129.52000000000001"/>
  </r>
  <r>
    <x v="1424"/>
    <n v="129.41999999999999"/>
  </r>
  <r>
    <x v="1425"/>
    <n v="127.61"/>
  </r>
  <r>
    <x v="1426"/>
    <n v="125.69"/>
  </r>
  <r>
    <x v="1427"/>
    <n v="124.22"/>
  </r>
  <r>
    <x v="1428"/>
    <n v="124.22"/>
  </r>
  <r>
    <x v="1429"/>
    <n v="124.22"/>
  </r>
  <r>
    <x v="1430"/>
    <n v="124.22"/>
  </r>
  <r>
    <x v="1431"/>
    <n v="125.3"/>
  </r>
  <r>
    <x v="1432"/>
    <n v="125.73"/>
  </r>
  <r>
    <x v="1433"/>
    <n v="124.53"/>
  </r>
  <r>
    <x v="1434"/>
    <n v="125.84"/>
  </r>
  <r>
    <x v="1435"/>
    <n v="124.65"/>
  </r>
  <r>
    <x v="1436"/>
    <n v="124.65"/>
  </r>
  <r>
    <x v="1437"/>
    <n v="124.65"/>
  </r>
  <r>
    <x v="1438"/>
    <n v="121.68"/>
  </r>
  <r>
    <x v="1439"/>
    <n v="117.17"/>
  </r>
  <r>
    <x v="1440"/>
    <n v="116.28"/>
  </r>
  <r>
    <x v="1441"/>
    <n v="122"/>
  </r>
  <r>
    <x v="1442"/>
    <n v="122.21"/>
  </r>
  <r>
    <x v="1443"/>
    <n v="122.21"/>
  </r>
  <r>
    <x v="1444"/>
    <n v="122.21"/>
  </r>
  <r>
    <x v="1445"/>
    <n v="119.54"/>
  </r>
  <r>
    <x v="1446"/>
    <n v="116.72"/>
  </r>
  <r>
    <x v="1447"/>
    <n v="115.89"/>
  </r>
  <r>
    <x v="1448"/>
    <n v="115.67"/>
  </r>
  <r>
    <x v="1449"/>
    <n v="114.57"/>
  </r>
  <r>
    <x v="1450"/>
    <n v="114.57"/>
  </r>
  <r>
    <x v="1451"/>
    <n v="114.57"/>
  </r>
  <r>
    <x v="1452"/>
    <n v="111.78"/>
  </r>
  <r>
    <x v="1453"/>
    <n v="114.45"/>
  </r>
  <r>
    <x v="1454"/>
    <n v="116.07"/>
  </r>
  <r>
    <x v="1455"/>
    <n v="117.57"/>
  </r>
  <r>
    <x v="1456"/>
    <n v="115.39"/>
  </r>
  <r>
    <x v="1457"/>
    <n v="115.39"/>
  </r>
  <r>
    <x v="1458"/>
    <n v="115.39"/>
  </r>
  <r>
    <x v="1459"/>
    <n v="112"/>
  </r>
  <r>
    <x v="1460"/>
    <n v="112.02"/>
  </r>
  <r>
    <x v="1461"/>
    <n v="110.97"/>
  </r>
  <r>
    <x v="1462"/>
    <n v="109.73"/>
  </r>
  <r>
    <x v="1463"/>
    <n v="108.98"/>
  </r>
  <r>
    <x v="1464"/>
    <n v="108.98"/>
  </r>
  <r>
    <x v="1465"/>
    <n v="108.98"/>
  </r>
  <r>
    <x v="1466"/>
    <n v="108.98"/>
  </r>
  <r>
    <x v="1467"/>
    <n v="108.98"/>
  </r>
  <r>
    <x v="1468"/>
    <n v="108.58"/>
  </r>
  <r>
    <x v="1469"/>
    <n v="106.7"/>
  </r>
  <r>
    <x v="1470"/>
    <n v="105.79"/>
  </r>
  <r>
    <x v="1471"/>
    <n v="105.79"/>
  </r>
  <r>
    <x v="1472"/>
    <n v="105.79"/>
  </r>
  <r>
    <x v="1473"/>
    <n v="107.24"/>
  </r>
  <r>
    <x v="1474"/>
    <n v="105.5"/>
  </r>
  <r>
    <x v="1475"/>
    <n v="100.53"/>
  </r>
  <r>
    <x v="1476"/>
    <n v="100.39"/>
  </r>
  <r>
    <x v="1477"/>
    <n v="102.47"/>
  </r>
  <r>
    <x v="1478"/>
    <n v="102.47"/>
  </r>
  <r>
    <x v="1479"/>
    <n v="102.47"/>
  </r>
  <r>
    <x v="1480"/>
    <n v="104.21"/>
  </r>
  <r>
    <x v="1481"/>
    <n v="107.3"/>
  </r>
  <r>
    <x v="1482"/>
    <n v="107.67"/>
  </r>
  <r>
    <x v="1483"/>
    <n v="108.12"/>
  </r>
  <r>
    <x v="1484"/>
    <n v="109.53"/>
  </r>
  <r>
    <x v="1485"/>
    <n v="109.53"/>
  </r>
  <r>
    <x v="1486"/>
    <n v="109.53"/>
  </r>
  <r>
    <x v="1487"/>
    <n v="107.1"/>
  </r>
  <r>
    <x v="1488"/>
    <n v="104.96"/>
  </r>
  <r>
    <x v="1489"/>
    <n v="105.31"/>
  </r>
  <r>
    <x v="1490"/>
    <n v="106.59"/>
  </r>
  <r>
    <x v="1491"/>
    <n v="106.59"/>
  </r>
  <r>
    <x v="1492"/>
    <n v="106.59"/>
  </r>
  <r>
    <x v="1493"/>
    <n v="106.59"/>
  </r>
  <r>
    <x v="1494"/>
    <n v="107.49"/>
  </r>
  <r>
    <x v="1495"/>
    <n v="108.07"/>
  </r>
  <r>
    <x v="1496"/>
    <n v="108.73"/>
  </r>
  <r>
    <x v="1497"/>
    <n v="110"/>
  </r>
  <r>
    <x v="1498"/>
    <n v="109.86"/>
  </r>
  <r>
    <x v="1499"/>
    <n v="109.86"/>
  </r>
  <r>
    <x v="1500"/>
    <n v="108.27"/>
  </r>
  <r>
    <x v="1501"/>
    <n v="107.91"/>
  </r>
  <r>
    <x v="1502"/>
    <n v="106.39"/>
  </r>
  <r>
    <x v="1503"/>
    <n v="108.77"/>
  </r>
  <r>
    <x v="1504"/>
    <n v="107.71"/>
  </r>
  <r>
    <x v="1505"/>
    <n v="107.71"/>
  </r>
  <r>
    <x v="1506"/>
    <n v="107.71"/>
  </r>
  <r>
    <x v="1507"/>
    <n v="109.41"/>
  </r>
  <r>
    <x v="1508"/>
    <n v="105.56"/>
  </r>
  <r>
    <x v="1509"/>
    <n v="106.32"/>
  </r>
  <r>
    <x v="1510"/>
    <n v="109.53"/>
  </r>
  <r>
    <x v="1511"/>
    <n v="109.53"/>
  </r>
  <r>
    <x v="1512"/>
    <n v="109.53"/>
  </r>
  <r>
    <x v="1513"/>
    <n v="109.53"/>
  </r>
  <r>
    <x v="1514"/>
    <n v="114.37"/>
  </r>
  <r>
    <x v="1515"/>
    <n v="114.84"/>
  </r>
  <r>
    <x v="1516"/>
    <n v="114.22"/>
  </r>
  <r>
    <x v="1517"/>
    <n v="115.54"/>
  </r>
  <r>
    <x v="1518"/>
    <n v="117.95"/>
  </r>
  <r>
    <x v="1519"/>
    <n v="117.95"/>
  </r>
  <r>
    <x v="1520"/>
    <n v="117.95"/>
  </r>
  <r>
    <x v="1521"/>
    <n v="119.36"/>
  </r>
  <r>
    <x v="1522"/>
    <n v="122.77"/>
  </r>
  <r>
    <x v="1523"/>
    <n v="119.31"/>
  </r>
  <r>
    <x v="1524"/>
    <n v="115.98"/>
  </r>
  <r>
    <x v="1525"/>
    <n v="112.98"/>
  </r>
  <r>
    <x v="1526"/>
    <n v="112.98"/>
  </r>
  <r>
    <x v="1527"/>
    <n v="112.98"/>
  </r>
  <r>
    <x v="1528"/>
    <n v="115.77"/>
  </r>
  <r>
    <x v="1529"/>
    <n v="115.88"/>
  </r>
  <r>
    <x v="1530"/>
    <n v="117.08"/>
  </r>
  <r>
    <x v="1531"/>
    <n v="110.19"/>
  </r>
  <r>
    <x v="1532"/>
    <n v="112.31"/>
  </r>
  <r>
    <x v="1533"/>
    <n v="112.31"/>
  </r>
  <r>
    <x v="1534"/>
    <n v="112.31"/>
  </r>
  <r>
    <x v="1535"/>
    <n v="112.31"/>
  </r>
  <r>
    <x v="1536"/>
    <n v="108.87"/>
  </r>
  <r>
    <x v="1537"/>
    <n v="116.95"/>
  </r>
  <r>
    <x v="1538"/>
    <n v="112.92"/>
  </r>
  <r>
    <x v="1539"/>
    <n v="108.35"/>
  </r>
  <r>
    <x v="1540"/>
    <n v="108.35"/>
  </r>
  <r>
    <x v="1541"/>
    <n v="108.35"/>
  </r>
  <r>
    <x v="1542"/>
    <n v="110.05"/>
  </r>
  <r>
    <x v="1543"/>
    <n v="109.18"/>
  </r>
  <r>
    <x v="1544"/>
    <n v="108.43"/>
  </r>
  <r>
    <x v="1545"/>
    <n v="104.23"/>
  </r>
  <r>
    <x v="1546"/>
    <n v="99.84"/>
  </r>
  <r>
    <x v="1547"/>
    <n v="99.84"/>
  </r>
  <r>
    <x v="1548"/>
    <n v="99.84"/>
  </r>
  <r>
    <x v="1549"/>
    <n v="103.37"/>
  </r>
  <r>
    <x v="1550"/>
    <n v="108.32"/>
  </r>
  <r>
    <x v="1551"/>
    <n v="106.26"/>
  </r>
  <r>
    <x v="1552"/>
    <n v="101.09"/>
  </r>
  <r>
    <x v="1553"/>
    <n v="94.27"/>
  </r>
  <r>
    <x v="1554"/>
    <n v="94.27"/>
  </r>
  <r>
    <x v="1555"/>
    <n v="94.27"/>
  </r>
  <r>
    <x v="1556"/>
    <n v="94.27"/>
  </r>
  <r>
    <x v="1557"/>
    <n v="94.27"/>
  </r>
  <r>
    <x v="1558"/>
    <n v="90.44"/>
  </r>
  <r>
    <x v="1559"/>
    <n v="89.57"/>
  </r>
  <r>
    <x v="1560"/>
    <n v="88.42"/>
  </r>
  <r>
    <x v="1561"/>
    <n v="88.42"/>
  </r>
  <r>
    <x v="1562"/>
    <n v="88.42"/>
  </r>
  <r>
    <x v="1563"/>
    <n v="87.78"/>
  </r>
  <r>
    <x v="1564"/>
    <n v="87.88"/>
  </r>
  <r>
    <x v="1565"/>
    <n v="85.96"/>
  </r>
  <r>
    <x v="1566"/>
    <n v="85.96"/>
  </r>
  <r>
    <x v="1567"/>
    <n v="85.42"/>
  </r>
  <r>
    <x v="1568"/>
    <n v="85.42"/>
  </r>
  <r>
    <x v="1569"/>
    <n v="85.42"/>
  </r>
  <r>
    <x v="1570"/>
    <n v="83.2"/>
  </r>
  <r>
    <x v="1571"/>
    <n v="86.79"/>
  </r>
  <r>
    <x v="1572"/>
    <n v="91.4"/>
  </r>
  <r>
    <x v="1573"/>
    <n v="91.4"/>
  </r>
  <r>
    <x v="1574"/>
    <n v="91.4"/>
  </r>
  <r>
    <x v="1575"/>
    <n v="91.4"/>
  </r>
  <r>
    <x v="1576"/>
    <n v="91.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n v="632389.35353461001"/>
  </r>
  <r>
    <x v="1"/>
    <n v="609379.98946480127"/>
  </r>
  <r>
    <x v="2"/>
    <n v="614192.47840422287"/>
  </r>
  <r>
    <x v="3"/>
    <n v="642403.32319795026"/>
  </r>
  <r>
    <x v="4"/>
    <n v="652831.97670632158"/>
  </r>
  <r>
    <x v="5"/>
    <n v="723516.62249067484"/>
  </r>
  <r>
    <x v="6"/>
    <n v="686756.46782667423"/>
  </r>
  <r>
    <x v="7"/>
    <n v="696134.66911211505"/>
  </r>
  <r>
    <x v="8"/>
    <n v="697592.03849840141"/>
  </r>
  <r>
    <x v="9"/>
    <n v="774238.2057146536"/>
  </r>
  <r>
    <x v="10"/>
    <n v="727933.42375928734"/>
  </r>
  <r>
    <x v="11"/>
    <n v="704884.68203466653"/>
  </r>
  <r>
    <x v="12"/>
    <n v="705021.09671859909"/>
  </r>
  <r>
    <x v="13"/>
    <n v="733350.47403623583"/>
  </r>
  <r>
    <x v="14"/>
    <n v="723190.59243130707"/>
  </r>
  <r>
    <x v="15"/>
    <n v="696292.25484894111"/>
  </r>
  <r>
    <x v="16"/>
    <n v="668672.71386454743"/>
  </r>
  <r>
    <x v="17"/>
    <n v="720760.48010634969"/>
  </r>
  <r>
    <x v="18"/>
    <n v="708557.001374883"/>
  </r>
  <r>
    <x v="19"/>
    <n v="710734.700202818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4E109D-79F7-47C9-AFBE-78BECCD29BAF}" name="TablaDinámica2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H5:AI11" firstHeaderRow="1" firstDataRow="1" firstDataCol="1"/>
  <pivotFields count="4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numFmtId="3"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3">
    <field x="3"/>
    <field x="2"/>
    <field x="0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Promedio de PBI cte a pesos 2004" fld="1" subtotal="average" baseField="3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13FFA4-0161-41FD-A65C-4D3F3CFC1E15}" name="TablaDinámica3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G4:H11" firstHeaderRow="1" firstDataRow="1" firstDataCol="1"/>
  <pivotFields count="4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</pivotField>
  </pivotFields>
  <rowFields count="2">
    <field x="3"/>
    <field x="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Promedio de MEP" fld="1" subtotal="average" baseField="3" baseItem="1"/>
  </dataFields>
  <formats count="1">
    <format dxfId="1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F1D23A-7CE5-4DA7-A4F9-2231B5E8BA6C}" name="Tabla1" displayName="Tabla1" ref="A9:K255" totalsRowShown="0">
  <autoFilter ref="A9:K255" xr:uid="{A4621FB6-718F-449D-9213-4BC74EA97351}"/>
  <tableColumns count="11">
    <tableColumn id="1" xr3:uid="{71DE25AF-6843-4783-8DAC-1E2B65016655}" name="Fecha" dataDxfId="12"/>
    <tableColumn id="2" xr3:uid="{93787AB7-9A7C-482F-B127-47FE1F9BD504}" name="AGRO $"/>
    <tableColumn id="3" xr3:uid="{4999ECFF-42B4-4165-BBA3-A49FB2F4A7C0}" name="Merval $"/>
    <tableColumn id="4" xr3:uid="{51D50D40-116F-47B1-B136-B520EA5F589D}" name="Rend AGRO" dataDxfId="11" dataCellStyle="Porcentaje">
      <calculatedColumnFormula>LN(B10/B11)</calculatedColumnFormula>
    </tableColumn>
    <tableColumn id="5" xr3:uid="{1468DC6C-83FA-4B17-B7FA-4B7D02304B96}" name="Rend Merval" dataDxfId="10" dataCellStyle="Porcentaje">
      <calculatedColumnFormula>LN(C10/C11)</calculatedColumnFormula>
    </tableColumn>
    <tableColumn id="6" xr3:uid="{1578A0DA-112A-4BA4-80A4-5EF8A7C9E042}" name="MEP">
      <calculatedColumnFormula>VLOOKUP(A10,[1]Base!$A$5:$B$265, 2, FALSE)</calculatedColumnFormula>
    </tableColumn>
    <tableColumn id="7" xr3:uid="{3761386F-FBEA-4310-9E30-8E67473D30F2}" name="AGRO USD" dataDxfId="9">
      <calculatedColumnFormula>B10/F10</calculatedColumnFormula>
    </tableColumn>
    <tableColumn id="8" xr3:uid="{EF37ABE6-77C8-47BE-95E1-0B1F6A05F8E5}" name="Merval USD" dataDxfId="8">
      <calculatedColumnFormula>Tabla1[[#This Row],[Merval $]]/F10</calculatedColumnFormula>
    </tableColumn>
    <tableColumn id="9" xr3:uid="{403E821E-51CC-478D-B224-21A0F8D677A9}" name="Rend AGRO2" dataDxfId="7" dataCellStyle="Porcentaje"/>
    <tableColumn id="10" xr3:uid="{E6580428-5BE2-4706-A0D4-5FCC90117631}" name="Rend Merval3" dataDxfId="6" dataCellStyle="Porcentaje">
      <calculatedColumnFormula>LN(H10/H11)</calculatedColumnFormula>
    </tableColumn>
    <tableColumn id="12" xr3:uid="{8E307091-9871-4EA9-B3A5-7F451CBF5E0D}" name="Riesgo país" dataDxfId="5" dataCellStyle="Millares">
      <calculatedColumnFormula>VLOOKUP(Tabla1[[#This Row],[Fecha]],[1]Base!$N$5:$O$263,2,FALSE)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55857C-5988-4C24-A05A-4A54B688E85B}" name="Tabla2" displayName="Tabla2" ref="H6:K17" totalsRowShown="0">
  <autoFilter ref="H6:K17" xr:uid="{6355857C-5988-4C24-A05A-4A54B688E85B}"/>
  <tableColumns count="4">
    <tableColumn id="1" xr3:uid="{E33B4078-22A7-4668-9CDA-D3B849400FD2}" name="Columna1" dataDxfId="4"/>
    <tableColumn id="2" xr3:uid="{A826A4FD-E446-4A42-9C15-F6069712B444}" name="Inflación anual" dataDxfId="3"/>
    <tableColumn id="3" xr3:uid="{C14DEF95-5A62-46D1-8130-821EED5C9602}" name="TC MEP" dataDxfId="2"/>
    <tableColumn id="4" xr3:uid="{11B6C2BB-ACD3-43FD-AF2E-C2F63EA129FB}" name="PBI" dataDxfId="1">
      <calculatedColumnFormula>Base!$AJ14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4D450-85EE-459D-A32F-C3DE7BD3B1CF}">
  <sheetPr>
    <tabColor rgb="FFC00000"/>
  </sheetPr>
  <dimension ref="B4:F11"/>
  <sheetViews>
    <sheetView showGridLines="0" workbookViewId="0">
      <selection activeCell="C11" sqref="C11"/>
    </sheetView>
  </sheetViews>
  <sheetFormatPr baseColWidth="10" defaultRowHeight="14.25"/>
  <cols>
    <col min="3" max="3" width="41.5" customWidth="1"/>
  </cols>
  <sheetData>
    <row r="4" spans="2:6" ht="60">
      <c r="B4" s="29" t="s">
        <v>97</v>
      </c>
      <c r="C4" s="30"/>
      <c r="D4" s="30"/>
      <c r="E4" s="30"/>
      <c r="F4" s="30"/>
    </row>
    <row r="6" spans="2:6" ht="35.25">
      <c r="B6" s="31" t="s">
        <v>112</v>
      </c>
    </row>
    <row r="9" spans="2:6" ht="18">
      <c r="B9" s="33" t="s">
        <v>98</v>
      </c>
      <c r="C9" s="32" t="s">
        <v>114</v>
      </c>
    </row>
    <row r="10" spans="2:6" ht="18">
      <c r="B10" s="33" t="s">
        <v>99</v>
      </c>
      <c r="C10" s="32" t="s">
        <v>115</v>
      </c>
    </row>
    <row r="11" spans="2:6" ht="18">
      <c r="B11" s="33" t="s">
        <v>100</v>
      </c>
      <c r="C11" s="32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56CA1-DD4F-4583-BA28-307996EA3AA3}">
  <dimension ref="A4:AJ1581"/>
  <sheetViews>
    <sheetView topLeftCell="AC5" workbookViewId="0">
      <selection activeCell="AI22" sqref="AI22"/>
    </sheetView>
  </sheetViews>
  <sheetFormatPr baseColWidth="10" defaultRowHeight="14.25"/>
  <cols>
    <col min="34" max="34" width="17.125" bestFit="1" customWidth="1"/>
    <col min="35" max="35" width="31.375" bestFit="1" customWidth="1"/>
  </cols>
  <sheetData>
    <row r="4" spans="1:36" ht="42.75">
      <c r="A4" t="s">
        <v>117</v>
      </c>
      <c r="B4" t="s">
        <v>118</v>
      </c>
      <c r="D4" t="s">
        <v>117</v>
      </c>
      <c r="E4" t="s">
        <v>119</v>
      </c>
      <c r="G4" t="s">
        <v>120</v>
      </c>
      <c r="H4" s="48" t="s">
        <v>121</v>
      </c>
      <c r="K4" t="s">
        <v>117</v>
      </c>
      <c r="L4" t="s">
        <v>122</v>
      </c>
      <c r="N4" t="s">
        <v>117</v>
      </c>
      <c r="O4" t="s">
        <v>123</v>
      </c>
      <c r="T4" s="48" t="s">
        <v>124</v>
      </c>
      <c r="U4" s="48" t="s">
        <v>125</v>
      </c>
      <c r="V4" s="48" t="s">
        <v>126</v>
      </c>
      <c r="W4" s="48" t="s">
        <v>127</v>
      </c>
      <c r="Z4" s="48" t="s">
        <v>117</v>
      </c>
      <c r="AA4" s="48" t="s">
        <v>128</v>
      </c>
      <c r="AD4" t="s">
        <v>117</v>
      </c>
      <c r="AE4" s="48" t="s">
        <v>129</v>
      </c>
    </row>
    <row r="5" spans="1:36">
      <c r="A5" s="49">
        <v>45813</v>
      </c>
      <c r="B5" s="50">
        <v>1192.3800000000001</v>
      </c>
      <c r="C5" s="50"/>
      <c r="D5" s="49">
        <v>45814</v>
      </c>
      <c r="E5" s="50">
        <v>1192.4000000000001</v>
      </c>
      <c r="F5" s="50"/>
      <c r="G5" s="51" t="s">
        <v>130</v>
      </c>
      <c r="H5">
        <v>122.63622377622364</v>
      </c>
      <c r="I5" s="50"/>
      <c r="K5" s="52">
        <v>45814</v>
      </c>
      <c r="L5" s="53">
        <v>2156778.5</v>
      </c>
      <c r="N5" s="52">
        <v>45814</v>
      </c>
      <c r="O5">
        <v>688</v>
      </c>
      <c r="S5" s="54">
        <v>43831</v>
      </c>
      <c r="T5" s="55">
        <v>289.82990000000001</v>
      </c>
      <c r="U5" s="56"/>
      <c r="V5" s="56">
        <v>0.52900000000000003</v>
      </c>
      <c r="Y5" s="56"/>
      <c r="Z5" s="54">
        <v>43831</v>
      </c>
      <c r="AA5" s="57">
        <v>140.708516607907</v>
      </c>
      <c r="AD5" s="52">
        <v>43922</v>
      </c>
      <c r="AE5" s="58">
        <v>632389.35353461001</v>
      </c>
      <c r="AH5" s="81" t="s">
        <v>120</v>
      </c>
      <c r="AI5" t="s">
        <v>192</v>
      </c>
    </row>
    <row r="6" spans="1:36">
      <c r="A6" s="49">
        <v>45812</v>
      </c>
      <c r="B6" s="50">
        <v>1193.22</v>
      </c>
      <c r="C6" s="50"/>
      <c r="D6" s="49">
        <v>45813</v>
      </c>
      <c r="E6" s="50">
        <v>1192.3800000000001</v>
      </c>
      <c r="F6" s="50"/>
      <c r="G6" s="51" t="s">
        <v>131</v>
      </c>
      <c r="H6">
        <v>164.48068493150674</v>
      </c>
      <c r="I6" s="50"/>
      <c r="K6" s="52">
        <v>45813</v>
      </c>
      <c r="L6" s="53">
        <v>2124156</v>
      </c>
      <c r="N6" s="49">
        <v>45813</v>
      </c>
      <c r="O6" s="50">
        <v>688</v>
      </c>
      <c r="S6" s="54">
        <v>43862</v>
      </c>
      <c r="T6" s="55">
        <v>295.666</v>
      </c>
      <c r="U6" s="56">
        <f>T6/T5-1</f>
        <v>2.0136293736429556E-2</v>
      </c>
      <c r="V6" s="56">
        <v>0.503</v>
      </c>
      <c r="Y6" s="56"/>
      <c r="Z6" s="54">
        <v>43862</v>
      </c>
      <c r="AA6" s="57">
        <v>138.88807227943951</v>
      </c>
      <c r="AD6" s="52">
        <v>44013</v>
      </c>
      <c r="AE6" s="58">
        <v>609379.98946480127</v>
      </c>
      <c r="AH6" s="51" t="s">
        <v>130</v>
      </c>
      <c r="AI6" s="82">
        <v>624591.2861503961</v>
      </c>
    </row>
    <row r="7" spans="1:36">
      <c r="A7" s="49">
        <v>45811</v>
      </c>
      <c r="B7" s="50">
        <v>1189.67</v>
      </c>
      <c r="C7" s="50"/>
      <c r="D7" s="49">
        <v>45812</v>
      </c>
      <c r="E7" s="50">
        <v>1193.22</v>
      </c>
      <c r="F7" s="50"/>
      <c r="G7" s="51" t="s">
        <v>132</v>
      </c>
      <c r="H7">
        <v>250.58223367697596</v>
      </c>
      <c r="I7" s="50"/>
      <c r="K7" s="52">
        <v>45812</v>
      </c>
      <c r="L7" s="53">
        <v>2126915.25</v>
      </c>
      <c r="N7" s="49">
        <v>45812</v>
      </c>
      <c r="O7" s="50">
        <v>688</v>
      </c>
      <c r="S7" s="54">
        <v>43891</v>
      </c>
      <c r="T7" s="55">
        <v>305.55149999999998</v>
      </c>
      <c r="U7" s="56">
        <f t="shared" ref="U7:U68" si="0">T7/T6-1</f>
        <v>3.3434686436722538E-2</v>
      </c>
      <c r="V7" s="56">
        <v>0.48399999999999999</v>
      </c>
      <c r="Y7" s="56"/>
      <c r="Z7" s="54">
        <v>43891</v>
      </c>
      <c r="AA7" s="57">
        <v>125.4831696135107</v>
      </c>
      <c r="AD7" s="52">
        <v>44105</v>
      </c>
      <c r="AE7" s="58">
        <v>614192.47840422287</v>
      </c>
      <c r="AH7" s="51" t="s">
        <v>131</v>
      </c>
      <c r="AI7" s="82">
        <v>689809.93403394648</v>
      </c>
    </row>
    <row r="8" spans="1:36">
      <c r="A8" s="49">
        <v>45810</v>
      </c>
      <c r="B8" s="50">
        <v>1183.78</v>
      </c>
      <c r="C8" s="50"/>
      <c r="D8" s="49">
        <v>45811</v>
      </c>
      <c r="E8" s="50">
        <v>1189.67</v>
      </c>
      <c r="F8" s="50"/>
      <c r="G8" s="51" t="s">
        <v>133</v>
      </c>
      <c r="H8">
        <v>573.54615384615374</v>
      </c>
      <c r="I8" s="50"/>
      <c r="K8" s="52">
        <v>45811</v>
      </c>
      <c r="L8" s="53">
        <v>2224638</v>
      </c>
      <c r="N8" s="49">
        <v>45811</v>
      </c>
      <c r="O8" s="50">
        <v>668</v>
      </c>
      <c r="S8" s="54">
        <v>43922</v>
      </c>
      <c r="T8" s="55">
        <v>310.12430000000001</v>
      </c>
      <c r="U8" s="56">
        <f t="shared" si="0"/>
        <v>1.4965725908725691E-2</v>
      </c>
      <c r="V8" s="56">
        <v>0.45600000000000002</v>
      </c>
      <c r="Y8" s="56"/>
      <c r="Z8" s="54">
        <v>43922</v>
      </c>
      <c r="AA8" s="57">
        <v>106.10837051376264</v>
      </c>
      <c r="AD8" s="52">
        <v>44166</v>
      </c>
      <c r="AE8" s="58">
        <v>642403.32319795026</v>
      </c>
      <c r="AH8" s="51" t="s">
        <v>132</v>
      </c>
      <c r="AI8" s="82">
        <v>726162.08750175219</v>
      </c>
    </row>
    <row r="9" spans="1:36">
      <c r="A9" s="49">
        <v>45807</v>
      </c>
      <c r="B9" s="50">
        <v>1191.72</v>
      </c>
      <c r="C9" s="50"/>
      <c r="D9" s="49">
        <v>45810</v>
      </c>
      <c r="E9" s="50">
        <v>1183.78</v>
      </c>
      <c r="F9" s="50"/>
      <c r="G9" s="51" t="s">
        <v>134</v>
      </c>
      <c r="H9">
        <v>1163.4084351145029</v>
      </c>
      <c r="I9" s="50"/>
      <c r="K9" s="52">
        <v>45810</v>
      </c>
      <c r="L9" s="53">
        <v>2206291.25</v>
      </c>
      <c r="N9" s="49">
        <v>45806</v>
      </c>
      <c r="O9" s="50">
        <v>663</v>
      </c>
      <c r="S9" s="54">
        <v>43952</v>
      </c>
      <c r="T9" s="55">
        <v>314.90870000000001</v>
      </c>
      <c r="U9" s="56">
        <f>T9/T8-1</f>
        <v>1.5427362512386189E-2</v>
      </c>
      <c r="V9" s="56">
        <v>0.434</v>
      </c>
      <c r="Y9" s="56"/>
      <c r="Z9" s="54">
        <v>43952</v>
      </c>
      <c r="AA9" s="57">
        <v>117.6351361629366</v>
      </c>
      <c r="AD9" s="52">
        <v>44287</v>
      </c>
      <c r="AE9" s="58">
        <v>652831.97670632158</v>
      </c>
      <c r="AF9" s="56">
        <f>AE9/AE5-1</f>
        <v>3.2326007794805101E-2</v>
      </c>
      <c r="AH9" s="51" t="s">
        <v>133</v>
      </c>
      <c r="AI9" s="82">
        <v>714463.60450877086</v>
      </c>
    </row>
    <row r="10" spans="1:36">
      <c r="A10" s="49">
        <v>45806</v>
      </c>
      <c r="B10" s="50">
        <v>1181.9000000000001</v>
      </c>
      <c r="C10" s="50"/>
      <c r="D10" s="49">
        <v>45807</v>
      </c>
      <c r="E10" s="50">
        <v>1191.72</v>
      </c>
      <c r="F10" s="50"/>
      <c r="G10" s="51" t="s">
        <v>135</v>
      </c>
      <c r="H10">
        <v>1204.6831858407081</v>
      </c>
      <c r="I10" s="50"/>
      <c r="K10" s="52">
        <v>45807</v>
      </c>
      <c r="L10" s="53">
        <v>2278991.5</v>
      </c>
      <c r="N10" s="49">
        <v>45805</v>
      </c>
      <c r="O10" s="50">
        <v>655</v>
      </c>
      <c r="S10" s="54">
        <v>43983</v>
      </c>
      <c r="T10" s="55">
        <v>321.97379999999998</v>
      </c>
      <c r="U10" s="56">
        <f t="shared" si="0"/>
        <v>2.2435391591276943E-2</v>
      </c>
      <c r="V10" s="56">
        <v>0.42799999999999999</v>
      </c>
      <c r="Y10" s="56"/>
      <c r="Z10" s="54">
        <v>43983</v>
      </c>
      <c r="AA10" s="57">
        <v>124.84621580326748</v>
      </c>
      <c r="AD10" s="52">
        <v>44378</v>
      </c>
      <c r="AE10" s="58">
        <v>723516.62249067484</v>
      </c>
      <c r="AF10" s="56">
        <f>AE10/AE6-1</f>
        <v>0.18729960779663291</v>
      </c>
      <c r="AH10" s="51" t="s">
        <v>134</v>
      </c>
      <c r="AI10" s="82">
        <v>702181.22388714971</v>
      </c>
    </row>
    <row r="11" spans="1:36">
      <c r="A11" s="49">
        <v>45805</v>
      </c>
      <c r="B11" s="50">
        <v>1164.8</v>
      </c>
      <c r="C11" s="50"/>
      <c r="D11" s="49">
        <v>45806</v>
      </c>
      <c r="E11" s="50">
        <v>1181.9000000000001</v>
      </c>
      <c r="F11" s="50"/>
      <c r="G11" s="51" t="s">
        <v>136</v>
      </c>
      <c r="H11">
        <v>480.71848446417289</v>
      </c>
      <c r="I11" s="50"/>
      <c r="K11" s="52">
        <v>45806</v>
      </c>
      <c r="L11" s="53">
        <v>2308055.75</v>
      </c>
      <c r="N11" s="49">
        <v>45804</v>
      </c>
      <c r="O11" s="50">
        <v>666</v>
      </c>
      <c r="S11" s="54">
        <v>44013</v>
      </c>
      <c r="T11" s="55">
        <v>328.20139999999998</v>
      </c>
      <c r="U11" s="56">
        <f>T11/T10-1</f>
        <v>1.9341946456512993E-2</v>
      </c>
      <c r="V11" s="56">
        <v>0.42399999999999999</v>
      </c>
      <c r="Y11" s="56"/>
      <c r="Z11" s="54">
        <v>44013</v>
      </c>
      <c r="AA11" s="57">
        <v>126.19018005220479</v>
      </c>
      <c r="AD11" s="52">
        <v>44470</v>
      </c>
      <c r="AE11" s="58">
        <v>686756.46782667423</v>
      </c>
      <c r="AF11" s="56">
        <f t="shared" ref="AF11:AF24" si="1">AE11/AE7-1</f>
        <v>0.11814535666569048</v>
      </c>
      <c r="AH11" s="51" t="s">
        <v>136</v>
      </c>
      <c r="AI11" s="82">
        <v>691441.62721640314</v>
      </c>
    </row>
    <row r="12" spans="1:36">
      <c r="A12" s="49">
        <v>45804</v>
      </c>
      <c r="B12" s="50">
        <v>1161.3</v>
      </c>
      <c r="C12" s="50"/>
      <c r="D12" s="49">
        <v>45805</v>
      </c>
      <c r="E12" s="50">
        <v>1164.8</v>
      </c>
      <c r="F12" s="50"/>
      <c r="G12" s="50"/>
      <c r="H12" s="50"/>
      <c r="I12" s="50"/>
      <c r="K12" s="52">
        <v>45805</v>
      </c>
      <c r="L12" s="53">
        <v>2344329.5</v>
      </c>
      <c r="N12" s="49">
        <v>45803</v>
      </c>
      <c r="O12" s="50">
        <v>666</v>
      </c>
      <c r="S12" s="54">
        <v>44044</v>
      </c>
      <c r="T12" s="55">
        <v>337.06319999999999</v>
      </c>
      <c r="U12" s="56">
        <f t="shared" si="0"/>
        <v>2.7001103590661213E-2</v>
      </c>
      <c r="V12" s="56">
        <v>0.40700000000000003</v>
      </c>
      <c r="Y12" s="56"/>
      <c r="Z12" s="54">
        <v>44044</v>
      </c>
      <c r="AA12" s="57">
        <v>129.01078631226329</v>
      </c>
      <c r="AD12" s="52">
        <v>44531</v>
      </c>
      <c r="AE12" s="58">
        <v>696134.66911211505</v>
      </c>
      <c r="AF12" s="56">
        <f t="shared" si="1"/>
        <v>8.3641139411740006E-2</v>
      </c>
    </row>
    <row r="13" spans="1:36">
      <c r="A13" s="49">
        <v>45803</v>
      </c>
      <c r="B13" s="50">
        <v>1145.42</v>
      </c>
      <c r="C13" s="50"/>
      <c r="D13" s="49">
        <v>45804</v>
      </c>
      <c r="E13" s="50">
        <v>1161.3</v>
      </c>
      <c r="F13" s="50"/>
      <c r="G13" s="50"/>
      <c r="H13" s="50"/>
      <c r="I13" s="50"/>
      <c r="K13" s="52">
        <v>45804</v>
      </c>
      <c r="L13" s="53">
        <v>2355098.25</v>
      </c>
      <c r="N13" s="49">
        <v>45800</v>
      </c>
      <c r="O13" s="50">
        <v>665</v>
      </c>
      <c r="S13" s="54">
        <v>44075</v>
      </c>
      <c r="T13" s="55">
        <v>346.6207</v>
      </c>
      <c r="U13" s="56">
        <f t="shared" si="0"/>
        <v>2.8355216469789557E-2</v>
      </c>
      <c r="V13" s="56">
        <v>0.36599999999999999</v>
      </c>
      <c r="Y13" s="56"/>
      <c r="Z13" s="54">
        <v>44075</v>
      </c>
      <c r="AA13" s="57">
        <v>130.82176422463272</v>
      </c>
      <c r="AD13" s="52">
        <v>44652</v>
      </c>
      <c r="AE13" s="58">
        <v>697592.03849840141</v>
      </c>
      <c r="AF13" s="56">
        <f t="shared" si="1"/>
        <v>6.8562912646993768E-2</v>
      </c>
    </row>
    <row r="14" spans="1:36" ht="15">
      <c r="A14" s="49">
        <v>45800</v>
      </c>
      <c r="B14" s="50">
        <v>1143.32</v>
      </c>
      <c r="C14" s="50"/>
      <c r="D14" s="49">
        <v>45803</v>
      </c>
      <c r="E14" s="50">
        <v>1145.42</v>
      </c>
      <c r="F14" s="50"/>
      <c r="G14" s="50"/>
      <c r="H14" s="50"/>
      <c r="I14" s="50"/>
      <c r="K14" s="52">
        <v>45803</v>
      </c>
      <c r="L14" s="53">
        <v>2370800</v>
      </c>
      <c r="N14" s="49">
        <v>45799</v>
      </c>
      <c r="O14" s="50">
        <v>665</v>
      </c>
      <c r="S14" s="54">
        <v>44105</v>
      </c>
      <c r="T14" s="55">
        <v>359.65699999999998</v>
      </c>
      <c r="U14" s="56">
        <f t="shared" si="0"/>
        <v>3.7609698439821981E-2</v>
      </c>
      <c r="V14" s="56">
        <v>0.37200000000000005</v>
      </c>
      <c r="Y14" s="56"/>
      <c r="Z14" s="54">
        <v>44105</v>
      </c>
      <c r="AA14" s="57">
        <v>133.64961718508465</v>
      </c>
      <c r="AD14" s="52">
        <v>44743</v>
      </c>
      <c r="AE14" s="58">
        <v>774238.2057146536</v>
      </c>
      <c r="AF14" s="56">
        <f t="shared" si="1"/>
        <v>7.0104240382718341E-2</v>
      </c>
      <c r="AH14" s="83" t="s">
        <v>130</v>
      </c>
      <c r="AI14" s="84">
        <v>624591.2861503961</v>
      </c>
      <c r="AJ14" s="65">
        <v>-9.9000000000000005E-2</v>
      </c>
    </row>
    <row r="15" spans="1:36" ht="15">
      <c r="A15" s="49">
        <v>45799</v>
      </c>
      <c r="B15" s="50">
        <v>1143.49</v>
      </c>
      <c r="C15" s="50"/>
      <c r="D15" s="49">
        <v>45800</v>
      </c>
      <c r="E15" s="50">
        <v>1143.32</v>
      </c>
      <c r="F15" s="50"/>
      <c r="G15" s="50"/>
      <c r="H15" s="50"/>
      <c r="I15" s="50"/>
      <c r="K15" s="52">
        <v>45800</v>
      </c>
      <c r="L15" s="53">
        <v>2345902.25</v>
      </c>
      <c r="N15" s="49">
        <v>45798</v>
      </c>
      <c r="O15" s="50">
        <v>661</v>
      </c>
      <c r="S15" s="54">
        <v>44136</v>
      </c>
      <c r="T15" s="55">
        <v>371.02109999999999</v>
      </c>
      <c r="U15" s="56">
        <f t="shared" si="0"/>
        <v>3.1597049410966527E-2</v>
      </c>
      <c r="V15" s="56">
        <v>0.35799999999999998</v>
      </c>
      <c r="Y15" s="56"/>
      <c r="Z15" s="54">
        <v>44136</v>
      </c>
      <c r="AA15" s="57">
        <v>134.91069212320164</v>
      </c>
      <c r="AD15" s="52">
        <v>44835</v>
      </c>
      <c r="AE15" s="58">
        <v>727933.42375928734</v>
      </c>
      <c r="AF15" s="56">
        <f t="shared" si="1"/>
        <v>5.9958599389566158E-2</v>
      </c>
      <c r="AH15" s="83" t="s">
        <v>131</v>
      </c>
      <c r="AI15" s="84">
        <v>689809.93403394648</v>
      </c>
      <c r="AJ15" s="56">
        <f>AI15/AI14-1</f>
        <v>0.10441812002456641</v>
      </c>
    </row>
    <row r="16" spans="1:36" ht="15">
      <c r="A16" s="49">
        <v>45798</v>
      </c>
      <c r="B16" s="50">
        <v>1148.8</v>
      </c>
      <c r="C16" s="50"/>
      <c r="D16" s="49">
        <v>45799</v>
      </c>
      <c r="E16" s="50">
        <v>1143.49</v>
      </c>
      <c r="F16" s="50"/>
      <c r="G16" s="50"/>
      <c r="H16" s="50"/>
      <c r="I16" s="50"/>
      <c r="K16" s="52">
        <v>45799</v>
      </c>
      <c r="L16" s="53">
        <v>2314897</v>
      </c>
      <c r="N16" s="49">
        <v>45797</v>
      </c>
      <c r="O16" s="50">
        <v>663</v>
      </c>
      <c r="S16" s="54">
        <v>44166</v>
      </c>
      <c r="T16" s="55">
        <v>385.88260000000002</v>
      </c>
      <c r="U16" s="56">
        <f t="shared" si="0"/>
        <v>4.0055673383535328E-2</v>
      </c>
      <c r="V16" s="56">
        <v>0.36099999999999999</v>
      </c>
      <c r="Y16" s="56"/>
      <c r="Z16" s="54">
        <v>44166</v>
      </c>
      <c r="AA16" s="57">
        <v>136.76101561210126</v>
      </c>
      <c r="AD16" s="52">
        <v>44896</v>
      </c>
      <c r="AE16" s="58">
        <v>704884.68203466653</v>
      </c>
      <c r="AF16" s="56">
        <f t="shared" si="1"/>
        <v>1.2569425587884764E-2</v>
      </c>
      <c r="AH16" s="83" t="s">
        <v>132</v>
      </c>
      <c r="AI16" s="84">
        <v>726162.08750175219</v>
      </c>
      <c r="AJ16" s="56">
        <f t="shared" ref="AJ16:AJ18" si="2">AI16/AI15-1</f>
        <v>5.2698796689142346E-2</v>
      </c>
    </row>
    <row r="17" spans="1:36" ht="15">
      <c r="A17" s="49">
        <v>45797</v>
      </c>
      <c r="B17" s="50">
        <v>1153.33</v>
      </c>
      <c r="C17" s="50"/>
      <c r="D17" s="49">
        <v>45798</v>
      </c>
      <c r="E17" s="50">
        <v>1148.8</v>
      </c>
      <c r="F17" s="50"/>
      <c r="G17" s="50"/>
      <c r="H17" s="50"/>
      <c r="I17" s="50"/>
      <c r="K17" s="52">
        <v>45798</v>
      </c>
      <c r="L17" s="53">
        <v>2319548.5</v>
      </c>
      <c r="N17" s="49">
        <v>45796</v>
      </c>
      <c r="O17" s="50">
        <v>675</v>
      </c>
      <c r="S17" s="54">
        <v>44197</v>
      </c>
      <c r="T17" s="55">
        <v>401.50709999999998</v>
      </c>
      <c r="U17" s="56">
        <f t="shared" si="0"/>
        <v>4.0490294198287202E-2</v>
      </c>
      <c r="V17" s="56">
        <f>T17/T5-1</f>
        <v>0.38531980309830005</v>
      </c>
      <c r="Z17" s="54">
        <v>44197</v>
      </c>
      <c r="AA17" s="57">
        <v>139.73714485031496</v>
      </c>
      <c r="AD17" s="52">
        <v>45017</v>
      </c>
      <c r="AE17" s="58">
        <v>705021.09671859909</v>
      </c>
      <c r="AF17" s="56">
        <f t="shared" si="1"/>
        <v>1.0649574264335104E-2</v>
      </c>
      <c r="AH17" s="83" t="s">
        <v>133</v>
      </c>
      <c r="AI17" s="84">
        <v>714463.60450877086</v>
      </c>
      <c r="AJ17" s="56">
        <f t="shared" si="2"/>
        <v>-1.6110016199314625E-2</v>
      </c>
    </row>
    <row r="18" spans="1:36" ht="15">
      <c r="A18" s="49">
        <v>45796</v>
      </c>
      <c r="B18" s="50">
        <v>1148.77</v>
      </c>
      <c r="C18" s="50"/>
      <c r="D18" s="49">
        <v>45797</v>
      </c>
      <c r="E18" s="50">
        <v>1153.33</v>
      </c>
      <c r="F18" s="50"/>
      <c r="G18" s="50"/>
      <c r="H18" s="50"/>
      <c r="I18" s="50"/>
      <c r="K18" s="52">
        <v>45797</v>
      </c>
      <c r="L18" s="53">
        <v>2378464</v>
      </c>
      <c r="N18" s="49">
        <v>45793</v>
      </c>
      <c r="O18" s="50">
        <v>676</v>
      </c>
      <c r="S18" s="54">
        <v>44228</v>
      </c>
      <c r="T18" s="55">
        <v>415.85950000000003</v>
      </c>
      <c r="U18" s="56">
        <f t="shared" si="0"/>
        <v>3.57463168148211E-2</v>
      </c>
      <c r="V18" s="56">
        <f>T18/T6-1</f>
        <v>0.40651782754865295</v>
      </c>
      <c r="Z18" s="54">
        <v>44228</v>
      </c>
      <c r="AA18" s="57">
        <v>137.25834533933255</v>
      </c>
      <c r="AD18" s="52">
        <v>45108</v>
      </c>
      <c r="AE18" s="58">
        <v>733350.47403623583</v>
      </c>
      <c r="AF18" s="56">
        <f t="shared" si="1"/>
        <v>-5.281027386226278E-2</v>
      </c>
      <c r="AH18" s="83" t="s">
        <v>134</v>
      </c>
      <c r="AI18" s="84">
        <v>702181.22388714971</v>
      </c>
      <c r="AJ18" s="56">
        <f t="shared" si="2"/>
        <v>-1.7191051502288723E-2</v>
      </c>
    </row>
    <row r="19" spans="1:36">
      <c r="A19" s="49">
        <v>45793</v>
      </c>
      <c r="B19" s="50">
        <v>1155.1199999999999</v>
      </c>
      <c r="C19" s="50"/>
      <c r="D19" s="49">
        <v>45796</v>
      </c>
      <c r="E19" s="50">
        <v>1148.77</v>
      </c>
      <c r="F19" s="50"/>
      <c r="G19" s="50"/>
      <c r="H19" s="50"/>
      <c r="I19" s="50"/>
      <c r="K19" s="52">
        <v>45796</v>
      </c>
      <c r="L19" s="53">
        <v>2369505.25</v>
      </c>
      <c r="N19" s="49">
        <v>45792</v>
      </c>
      <c r="O19" s="50">
        <v>676</v>
      </c>
      <c r="S19" s="54">
        <v>44256</v>
      </c>
      <c r="T19" s="55">
        <v>435.8657</v>
      </c>
      <c r="U19" s="56">
        <f t="shared" si="0"/>
        <v>4.8108074962817993E-2</v>
      </c>
      <c r="V19" s="56">
        <f>T19/T7-1</f>
        <v>0.42648849702914249</v>
      </c>
      <c r="Z19" s="54">
        <v>44256</v>
      </c>
      <c r="AA19" s="57">
        <v>140.61115548819942</v>
      </c>
      <c r="AD19" s="52">
        <v>45200</v>
      </c>
      <c r="AE19" s="58">
        <v>723190.59243130707</v>
      </c>
      <c r="AF19" s="56">
        <f t="shared" si="1"/>
        <v>-6.5154740436106362E-3</v>
      </c>
      <c r="AH19">
        <v>2025</v>
      </c>
      <c r="AJ19" s="65">
        <v>5.5E-2</v>
      </c>
    </row>
    <row r="20" spans="1:36">
      <c r="A20" s="49">
        <v>45792</v>
      </c>
      <c r="B20" s="50">
        <v>1140.92</v>
      </c>
      <c r="C20" s="50"/>
      <c r="D20" s="49">
        <v>45793</v>
      </c>
      <c r="E20" s="50">
        <v>1155.1199999999999</v>
      </c>
      <c r="F20" s="50"/>
      <c r="G20" s="50"/>
      <c r="H20" s="50"/>
      <c r="I20" s="50"/>
      <c r="K20" s="52">
        <v>45793</v>
      </c>
      <c r="L20" s="53">
        <v>2318360</v>
      </c>
      <c r="N20" s="49">
        <v>45791</v>
      </c>
      <c r="O20" s="50">
        <v>648</v>
      </c>
      <c r="S20" s="54">
        <v>44287</v>
      </c>
      <c r="T20" s="55">
        <v>453.65030000000002</v>
      </c>
      <c r="U20" s="56">
        <f t="shared" si="0"/>
        <v>4.0802935399596674E-2</v>
      </c>
      <c r="V20" s="56">
        <f>T20/T8-1</f>
        <v>0.46280152829043075</v>
      </c>
      <c r="Z20" s="54">
        <v>44287</v>
      </c>
      <c r="AA20" s="57">
        <v>139.63371831581736</v>
      </c>
      <c r="AD20" s="52">
        <v>45261</v>
      </c>
      <c r="AE20" s="58">
        <v>696292.25484894111</v>
      </c>
      <c r="AF20" s="56">
        <f t="shared" si="1"/>
        <v>-1.2189833890166479E-2</v>
      </c>
      <c r="AH20">
        <v>2026</v>
      </c>
      <c r="AJ20" s="65">
        <v>4.4999999999999998E-2</v>
      </c>
    </row>
    <row r="21" spans="1:36">
      <c r="A21" s="49">
        <v>45791</v>
      </c>
      <c r="B21" s="50">
        <v>1140.92</v>
      </c>
      <c r="C21" s="50"/>
      <c r="D21" s="49">
        <v>45792</v>
      </c>
      <c r="E21" s="50">
        <v>1140.92</v>
      </c>
      <c r="F21" s="50"/>
      <c r="G21" s="50"/>
      <c r="H21" s="50"/>
      <c r="I21" s="50"/>
      <c r="K21" s="52">
        <v>45792</v>
      </c>
      <c r="L21" s="53">
        <v>2298473</v>
      </c>
      <c r="N21" s="49">
        <v>45790</v>
      </c>
      <c r="O21" s="50">
        <v>651</v>
      </c>
      <c r="S21" s="54">
        <v>44317</v>
      </c>
      <c r="T21" s="55">
        <v>468.72500000000002</v>
      </c>
      <c r="U21" s="56">
        <f t="shared" si="0"/>
        <v>3.3229780736395487E-2</v>
      </c>
      <c r="V21" s="56">
        <f t="shared" ref="V21:V68" si="3">T21/T9-1</f>
        <v>0.48844728646747448</v>
      </c>
      <c r="Z21" s="54">
        <v>44317</v>
      </c>
      <c r="AA21" s="57">
        <v>139.10436667990237</v>
      </c>
      <c r="AD21" s="52">
        <v>45383</v>
      </c>
      <c r="AE21" s="58">
        <v>668672.71386454743</v>
      </c>
      <c r="AF21" s="56">
        <f t="shared" si="1"/>
        <v>-5.1556447066944511E-2</v>
      </c>
      <c r="AH21">
        <v>2027</v>
      </c>
      <c r="AJ21" s="85">
        <v>0.04</v>
      </c>
    </row>
    <row r="22" spans="1:36">
      <c r="A22" s="49">
        <v>45790</v>
      </c>
      <c r="B22" s="50">
        <v>1140.92</v>
      </c>
      <c r="C22" s="50"/>
      <c r="D22" s="49">
        <v>45791</v>
      </c>
      <c r="E22" s="50">
        <v>1140.92</v>
      </c>
      <c r="F22" s="50"/>
      <c r="G22" s="50"/>
      <c r="H22" s="50"/>
      <c r="I22" s="50"/>
      <c r="K22" s="52">
        <v>45791</v>
      </c>
      <c r="L22" s="53">
        <v>2301643.25</v>
      </c>
      <c r="N22" s="49">
        <v>45789</v>
      </c>
      <c r="O22" s="50">
        <v>650</v>
      </c>
      <c r="S22" s="54">
        <v>44348</v>
      </c>
      <c r="T22" s="55">
        <v>483.60489999999999</v>
      </c>
      <c r="U22" s="56">
        <f t="shared" si="0"/>
        <v>3.1745479758920503E-2</v>
      </c>
      <c r="V22" s="56">
        <f t="shared" si="3"/>
        <v>0.50200078391471603</v>
      </c>
      <c r="Z22" s="54">
        <v>44348</v>
      </c>
      <c r="AA22" s="57">
        <v>141.74208403641254</v>
      </c>
      <c r="AD22" s="52">
        <v>45474</v>
      </c>
      <c r="AE22" s="58">
        <v>720760.48010634969</v>
      </c>
      <c r="AF22" s="56">
        <f t="shared" si="1"/>
        <v>-1.7167772266639347E-2</v>
      </c>
      <c r="AH22">
        <v>2028</v>
      </c>
      <c r="AJ22" s="65">
        <v>3.2000000000000001E-2</v>
      </c>
    </row>
    <row r="23" spans="1:36">
      <c r="A23" s="49">
        <v>45789</v>
      </c>
      <c r="B23" s="50">
        <v>1141.2</v>
      </c>
      <c r="C23" s="50"/>
      <c r="D23" s="49">
        <v>45790</v>
      </c>
      <c r="E23" s="50">
        <v>1140.92</v>
      </c>
      <c r="F23" s="50"/>
      <c r="G23" s="50"/>
      <c r="H23" s="50"/>
      <c r="I23" s="50"/>
      <c r="K23" s="52">
        <v>45790</v>
      </c>
      <c r="L23" s="53">
        <v>2285483.25</v>
      </c>
      <c r="N23" s="49">
        <v>45786</v>
      </c>
      <c r="O23" s="50">
        <v>678</v>
      </c>
      <c r="S23" s="54">
        <v>44378</v>
      </c>
      <c r="T23" s="55">
        <v>498.09870000000001</v>
      </c>
      <c r="U23" s="56">
        <f t="shared" si="0"/>
        <v>2.9970333220362466E-2</v>
      </c>
      <c r="V23" s="56">
        <f t="shared" si="3"/>
        <v>0.51766171625105817</v>
      </c>
      <c r="Z23" s="54">
        <v>44378</v>
      </c>
      <c r="AA23" s="57">
        <v>141.54961083133037</v>
      </c>
      <c r="AD23" s="52">
        <v>45566</v>
      </c>
      <c r="AE23" s="58">
        <v>708557.001374883</v>
      </c>
      <c r="AF23" s="56">
        <f t="shared" si="1"/>
        <v>-2.0234764126600635E-2</v>
      </c>
      <c r="AH23">
        <v>2029</v>
      </c>
      <c r="AJ23" s="65">
        <v>3.1E-2</v>
      </c>
    </row>
    <row r="24" spans="1:36">
      <c r="A24" s="49">
        <v>45786</v>
      </c>
      <c r="B24" s="50">
        <v>1144.1099999999999</v>
      </c>
      <c r="C24" s="50"/>
      <c r="D24" s="49">
        <v>45789</v>
      </c>
      <c r="E24" s="50">
        <v>1141.2</v>
      </c>
      <c r="F24" s="50"/>
      <c r="G24" s="50"/>
      <c r="H24" s="50"/>
      <c r="I24" s="50"/>
      <c r="K24" s="52">
        <v>45789</v>
      </c>
      <c r="L24" s="53">
        <v>2230394.75</v>
      </c>
      <c r="N24" s="49">
        <v>45785</v>
      </c>
      <c r="O24" s="50">
        <v>678</v>
      </c>
      <c r="S24" s="54">
        <v>44409</v>
      </c>
      <c r="T24" s="55">
        <v>510.39420000000001</v>
      </c>
      <c r="U24" s="56">
        <f t="shared" si="0"/>
        <v>2.4684866674014705E-2</v>
      </c>
      <c r="V24" s="56">
        <f t="shared" si="3"/>
        <v>0.51423887270992519</v>
      </c>
      <c r="Z24" s="54">
        <v>44409</v>
      </c>
      <c r="AA24" s="57">
        <v>143.43630506072699</v>
      </c>
      <c r="AD24" s="52">
        <v>45627</v>
      </c>
      <c r="AE24" s="58">
        <v>710734.70020281838</v>
      </c>
      <c r="AF24" s="56">
        <f t="shared" si="1"/>
        <v>2.0741930207180737E-2</v>
      </c>
      <c r="AH24">
        <v>2030</v>
      </c>
      <c r="AJ24" s="85">
        <v>0.03</v>
      </c>
    </row>
    <row r="25" spans="1:36">
      <c r="A25" s="49">
        <v>45785</v>
      </c>
      <c r="B25" s="50">
        <v>1143.32</v>
      </c>
      <c r="C25" s="50"/>
      <c r="D25" s="49">
        <v>45786</v>
      </c>
      <c r="E25" s="50">
        <v>1144.1099999999999</v>
      </c>
      <c r="F25" s="50"/>
      <c r="G25" s="50"/>
      <c r="H25" s="50"/>
      <c r="I25" s="50"/>
      <c r="K25" s="52">
        <v>45786</v>
      </c>
      <c r="L25" s="53">
        <v>2114385.5</v>
      </c>
      <c r="N25" s="49">
        <v>45784</v>
      </c>
      <c r="O25" s="50">
        <v>766</v>
      </c>
      <c r="S25" s="54">
        <v>44440</v>
      </c>
      <c r="T25" s="55">
        <v>528.49680000000001</v>
      </c>
      <c r="U25" s="56">
        <f t="shared" si="0"/>
        <v>3.5467879533113811E-2</v>
      </c>
      <c r="V25" s="56">
        <f t="shared" si="3"/>
        <v>0.52471217096959299</v>
      </c>
      <c r="Z25" s="54">
        <v>44440</v>
      </c>
      <c r="AA25" s="57">
        <v>144.04418120245199</v>
      </c>
    </row>
    <row r="26" spans="1:36">
      <c r="A26" s="49">
        <v>45784</v>
      </c>
      <c r="B26" s="50">
        <v>1156.07</v>
      </c>
      <c r="C26" s="50"/>
      <c r="D26" s="49">
        <v>45785</v>
      </c>
      <c r="E26" s="50">
        <v>1143.32</v>
      </c>
      <c r="F26" s="50"/>
      <c r="G26" s="50"/>
      <c r="H26" s="50"/>
      <c r="I26" s="50"/>
      <c r="K26" s="52">
        <v>45785</v>
      </c>
      <c r="L26" s="53">
        <v>2061722.25</v>
      </c>
      <c r="N26" s="49">
        <v>45783</v>
      </c>
      <c r="O26" s="50">
        <v>741</v>
      </c>
      <c r="S26" s="54">
        <v>44470</v>
      </c>
      <c r="T26" s="55">
        <v>547.08019999999999</v>
      </c>
      <c r="U26" s="56">
        <f t="shared" si="0"/>
        <v>3.5162748383717801E-2</v>
      </c>
      <c r="V26" s="56">
        <f t="shared" si="3"/>
        <v>0.5211165082286735</v>
      </c>
      <c r="Z26" s="54">
        <v>44470</v>
      </c>
      <c r="AA26" s="57">
        <v>143.53112233942721</v>
      </c>
    </row>
    <row r="27" spans="1:36">
      <c r="A27" s="49">
        <v>45783</v>
      </c>
      <c r="B27" s="50">
        <v>1199.6099999999999</v>
      </c>
      <c r="C27" s="50"/>
      <c r="D27" s="49">
        <v>45784</v>
      </c>
      <c r="E27" s="50">
        <v>1156.07</v>
      </c>
      <c r="F27" s="50"/>
      <c r="G27" s="50"/>
      <c r="H27" s="50"/>
      <c r="I27" s="50"/>
      <c r="K27" s="52">
        <v>45784</v>
      </c>
      <c r="L27" s="53">
        <v>2059914.88</v>
      </c>
      <c r="N27" s="49">
        <v>45782</v>
      </c>
      <c r="O27" s="50">
        <v>741</v>
      </c>
      <c r="S27" s="54">
        <v>44501</v>
      </c>
      <c r="T27" s="55">
        <v>560.91840000000002</v>
      </c>
      <c r="U27" s="56">
        <f t="shared" si="0"/>
        <v>2.5294646013509503E-2</v>
      </c>
      <c r="V27" s="56">
        <f t="shared" si="3"/>
        <v>0.51182345155032971</v>
      </c>
      <c r="Z27" s="54">
        <v>44501</v>
      </c>
      <c r="AA27" s="57">
        <v>145.86834099508232</v>
      </c>
    </row>
    <row r="28" spans="1:36">
      <c r="A28" s="49">
        <v>45782</v>
      </c>
      <c r="B28" s="50">
        <v>1202.92</v>
      </c>
      <c r="C28" s="50"/>
      <c r="D28" s="49">
        <v>45783</v>
      </c>
      <c r="E28" s="50">
        <v>1199.6099999999999</v>
      </c>
      <c r="F28" s="50"/>
      <c r="G28" s="50"/>
      <c r="H28" s="50"/>
      <c r="I28" s="50"/>
      <c r="K28" s="52">
        <v>45783</v>
      </c>
      <c r="L28" s="53">
        <v>2129994.5</v>
      </c>
      <c r="N28" s="49">
        <v>45779</v>
      </c>
      <c r="O28" s="50">
        <v>741</v>
      </c>
      <c r="S28" s="54">
        <v>44531</v>
      </c>
      <c r="T28" s="55">
        <v>582.45749999999998</v>
      </c>
      <c r="U28" s="56">
        <f t="shared" si="0"/>
        <v>3.8399703058412671E-2</v>
      </c>
      <c r="V28" s="56">
        <f t="shared" si="3"/>
        <v>0.50941633543466325</v>
      </c>
      <c r="Z28" s="54">
        <v>44531</v>
      </c>
      <c r="AA28" s="57">
        <v>149.82457024414865</v>
      </c>
    </row>
    <row r="29" spans="1:36">
      <c r="A29" s="49">
        <v>45779</v>
      </c>
      <c r="B29" s="50">
        <v>1183.3699999999999</v>
      </c>
      <c r="C29" s="50"/>
      <c r="D29" s="49">
        <v>45782</v>
      </c>
      <c r="E29" s="50">
        <v>1202.92</v>
      </c>
      <c r="F29" s="50"/>
      <c r="G29" s="50"/>
      <c r="H29" s="50"/>
      <c r="I29" s="50"/>
      <c r="K29" s="52">
        <v>45782</v>
      </c>
      <c r="L29" s="53">
        <v>2059931.63</v>
      </c>
      <c r="N29" s="49">
        <v>45778</v>
      </c>
      <c r="O29" s="50">
        <v>735</v>
      </c>
      <c r="S29" s="54">
        <v>44562</v>
      </c>
      <c r="T29" s="55">
        <v>605.0317</v>
      </c>
      <c r="U29" s="56">
        <f t="shared" si="0"/>
        <v>3.875681916706375E-2</v>
      </c>
      <c r="V29" s="56">
        <f t="shared" si="3"/>
        <v>0.50690162141591033</v>
      </c>
      <c r="Z29" s="54">
        <v>44562</v>
      </c>
      <c r="AA29" s="57">
        <v>148.19263572863355</v>
      </c>
    </row>
    <row r="30" spans="1:36">
      <c r="A30" s="49">
        <v>45778</v>
      </c>
      <c r="B30" s="50">
        <v>1183.3699999999999</v>
      </c>
      <c r="C30" s="50"/>
      <c r="D30" s="49">
        <v>45779</v>
      </c>
      <c r="E30" s="50">
        <v>1183.3699999999999</v>
      </c>
      <c r="F30" s="50"/>
      <c r="G30" s="50"/>
      <c r="H30" s="50"/>
      <c r="I30" s="50"/>
      <c r="K30" s="52">
        <v>45777</v>
      </c>
      <c r="L30" s="53">
        <v>2100843.75</v>
      </c>
      <c r="N30" s="49">
        <v>45777</v>
      </c>
      <c r="O30" s="50">
        <v>726</v>
      </c>
      <c r="S30" s="54">
        <v>44593</v>
      </c>
      <c r="T30" s="55">
        <v>633.43409999999994</v>
      </c>
      <c r="U30" s="56">
        <f t="shared" si="0"/>
        <v>4.6943656010089985E-2</v>
      </c>
      <c r="V30" s="56">
        <f t="shared" si="3"/>
        <v>0.5231925686439769</v>
      </c>
      <c r="Z30" s="54">
        <v>44593</v>
      </c>
      <c r="AA30" s="57">
        <v>149.89959145225262</v>
      </c>
    </row>
    <row r="31" spans="1:36">
      <c r="A31" s="49">
        <v>45777</v>
      </c>
      <c r="B31" s="50">
        <v>1183.3699999999999</v>
      </c>
      <c r="C31" s="50"/>
      <c r="D31" s="49">
        <v>45778</v>
      </c>
      <c r="E31" s="50">
        <v>1183.3699999999999</v>
      </c>
      <c r="F31" s="50"/>
      <c r="G31" s="50"/>
      <c r="H31" s="50"/>
      <c r="I31" s="50"/>
      <c r="K31" s="52">
        <v>45776</v>
      </c>
      <c r="L31" s="53">
        <v>2158847.75</v>
      </c>
      <c r="N31" s="49">
        <v>45776</v>
      </c>
      <c r="O31" s="50">
        <v>701</v>
      </c>
      <c r="S31" s="54">
        <v>44621</v>
      </c>
      <c r="T31" s="55">
        <v>676.0566</v>
      </c>
      <c r="U31" s="56">
        <f t="shared" si="0"/>
        <v>6.7287978339025445E-2</v>
      </c>
      <c r="V31" s="56">
        <f t="shared" si="3"/>
        <v>0.55106630322138228</v>
      </c>
      <c r="Z31" s="54">
        <v>44621</v>
      </c>
      <c r="AA31" s="57">
        <v>149.58000407995135</v>
      </c>
    </row>
    <row r="32" spans="1:36">
      <c r="A32" s="49">
        <v>45776</v>
      </c>
      <c r="B32" s="50">
        <v>1173.1500000000001</v>
      </c>
      <c r="C32" s="50"/>
      <c r="D32" s="49">
        <v>45777</v>
      </c>
      <c r="E32" s="50">
        <v>1183.3699999999999</v>
      </c>
      <c r="F32" s="50"/>
      <c r="G32" s="50"/>
      <c r="H32" s="50"/>
      <c r="I32" s="50"/>
      <c r="K32" s="52">
        <v>45775</v>
      </c>
      <c r="L32" s="53">
        <v>2179248.75</v>
      </c>
      <c r="N32" s="49">
        <v>45775</v>
      </c>
      <c r="O32" s="50">
        <v>710</v>
      </c>
      <c r="S32" s="54">
        <v>44652</v>
      </c>
      <c r="T32" s="55">
        <v>716.93989999999997</v>
      </c>
      <c r="U32" s="56">
        <f t="shared" si="0"/>
        <v>6.0473191149971628E-2</v>
      </c>
      <c r="V32" s="56">
        <f t="shared" si="3"/>
        <v>0.5803800857180077</v>
      </c>
      <c r="Z32" s="54">
        <v>44652</v>
      </c>
      <c r="AA32" s="57">
        <v>150.80113939301847</v>
      </c>
    </row>
    <row r="33" spans="1:27">
      <c r="A33" s="49">
        <v>45775</v>
      </c>
      <c r="B33" s="50">
        <v>1176.55</v>
      </c>
      <c r="C33" s="50"/>
      <c r="D33" s="49">
        <v>45776</v>
      </c>
      <c r="E33" s="50">
        <v>1173.1500000000001</v>
      </c>
      <c r="F33" s="50"/>
      <c r="G33" s="50"/>
      <c r="H33" s="50"/>
      <c r="I33" s="50"/>
      <c r="K33" s="52">
        <v>45772</v>
      </c>
      <c r="L33" s="53">
        <v>2225242.75</v>
      </c>
      <c r="N33" s="49">
        <v>45772</v>
      </c>
      <c r="O33" s="50">
        <v>692</v>
      </c>
      <c r="S33" s="54">
        <v>44682</v>
      </c>
      <c r="T33" s="55">
        <v>753.14700000000005</v>
      </c>
      <c r="U33" s="56">
        <f t="shared" si="0"/>
        <v>5.0502280595626114E-2</v>
      </c>
      <c r="V33" s="56">
        <f t="shared" si="3"/>
        <v>0.6067992959624513</v>
      </c>
      <c r="Z33" s="54">
        <v>44682</v>
      </c>
      <c r="AA33" s="57">
        <v>150.93254605552423</v>
      </c>
    </row>
    <row r="34" spans="1:27">
      <c r="A34" s="49">
        <v>45772</v>
      </c>
      <c r="B34" s="50">
        <v>1184.24</v>
      </c>
      <c r="C34" s="50"/>
      <c r="D34" s="49">
        <v>45775</v>
      </c>
      <c r="E34" s="50">
        <v>1176.55</v>
      </c>
      <c r="F34" s="50"/>
      <c r="G34" s="50"/>
      <c r="H34" s="50"/>
      <c r="I34" s="50"/>
      <c r="K34" s="52">
        <v>45771</v>
      </c>
      <c r="L34" s="53">
        <v>2232745.25</v>
      </c>
      <c r="N34" s="49">
        <v>45771</v>
      </c>
      <c r="O34" s="50">
        <v>713</v>
      </c>
      <c r="S34" s="54">
        <v>44713</v>
      </c>
      <c r="T34" s="55">
        <v>793.02779999999996</v>
      </c>
      <c r="U34" s="56">
        <f t="shared" si="0"/>
        <v>5.2952212516281572E-2</v>
      </c>
      <c r="V34" s="56">
        <f t="shared" si="3"/>
        <v>0.63982581648779813</v>
      </c>
      <c r="Z34" s="54">
        <v>44713</v>
      </c>
      <c r="AA34" s="57">
        <v>152.48435209856129</v>
      </c>
    </row>
    <row r="35" spans="1:27">
      <c r="A35" s="49">
        <v>45771</v>
      </c>
      <c r="B35" s="50">
        <v>1186.53</v>
      </c>
      <c r="C35" s="50"/>
      <c r="D35" s="49">
        <v>45772</v>
      </c>
      <c r="E35" s="50">
        <v>1184.24</v>
      </c>
      <c r="F35" s="50"/>
      <c r="G35" s="50"/>
      <c r="H35" s="50"/>
      <c r="I35" s="50"/>
      <c r="K35" s="52">
        <v>45770</v>
      </c>
      <c r="L35" s="53">
        <v>2239402</v>
      </c>
      <c r="N35" s="49">
        <v>45770</v>
      </c>
      <c r="O35" s="50">
        <v>720</v>
      </c>
      <c r="S35" s="54">
        <v>44743</v>
      </c>
      <c r="T35" s="55">
        <v>851.76099999999997</v>
      </c>
      <c r="U35" s="56">
        <f t="shared" si="0"/>
        <v>7.4061968571593528E-2</v>
      </c>
      <c r="V35" s="56">
        <f t="shared" si="3"/>
        <v>0.71002453931319232</v>
      </c>
      <c r="Z35" s="54">
        <v>44743</v>
      </c>
      <c r="AA35" s="57">
        <v>151.42320142123589</v>
      </c>
    </row>
    <row r="36" spans="1:27">
      <c r="A36" s="49">
        <v>45770</v>
      </c>
      <c r="B36" s="50">
        <v>1168</v>
      </c>
      <c r="C36" s="50"/>
      <c r="D36" s="49">
        <v>45771</v>
      </c>
      <c r="E36" s="50">
        <v>1186.53</v>
      </c>
      <c r="F36" s="50"/>
      <c r="G36" s="50"/>
      <c r="H36" s="50"/>
      <c r="I36" s="50"/>
      <c r="K36" s="52">
        <v>45769</v>
      </c>
      <c r="L36" s="53">
        <v>2163891</v>
      </c>
      <c r="N36" s="49">
        <v>45769</v>
      </c>
      <c r="O36" s="50">
        <v>720</v>
      </c>
      <c r="S36" s="54">
        <v>44774</v>
      </c>
      <c r="T36" s="55">
        <v>911.13160000000005</v>
      </c>
      <c r="U36" s="56">
        <f t="shared" si="0"/>
        <v>6.9703355753550689E-2</v>
      </c>
      <c r="V36" s="56">
        <f t="shared" si="3"/>
        <v>0.78515273096755411</v>
      </c>
      <c r="Z36" s="54">
        <v>44774</v>
      </c>
      <c r="AA36" s="57">
        <v>150.86399326531745</v>
      </c>
    </row>
    <row r="37" spans="1:27">
      <c r="A37" s="49">
        <v>45769</v>
      </c>
      <c r="B37" s="50">
        <v>1140.3800000000001</v>
      </c>
      <c r="C37" s="50"/>
      <c r="D37" s="49">
        <v>45770</v>
      </c>
      <c r="E37" s="50">
        <v>1168</v>
      </c>
      <c r="F37" s="50"/>
      <c r="G37" s="50"/>
      <c r="H37" s="50"/>
      <c r="I37" s="50"/>
      <c r="K37" s="52">
        <v>45768</v>
      </c>
      <c r="L37" s="53">
        <v>2045707.38</v>
      </c>
      <c r="N37" s="49">
        <v>45768</v>
      </c>
      <c r="O37" s="50">
        <v>720</v>
      </c>
      <c r="S37" s="54">
        <v>44805</v>
      </c>
      <c r="T37" s="55">
        <v>967.30759999999998</v>
      </c>
      <c r="U37" s="56">
        <f t="shared" si="0"/>
        <v>6.1655198875771644E-2</v>
      </c>
      <c r="V37" s="56">
        <f t="shared" si="3"/>
        <v>0.83029982395352242</v>
      </c>
      <c r="Z37" s="54">
        <v>44805</v>
      </c>
      <c r="AA37" s="57">
        <v>149.80678518107388</v>
      </c>
    </row>
    <row r="38" spans="1:27">
      <c r="A38" s="49">
        <v>45768</v>
      </c>
      <c r="B38" s="50">
        <v>1122.08</v>
      </c>
      <c r="C38" s="50"/>
      <c r="D38" s="49">
        <v>45769</v>
      </c>
      <c r="E38" s="50">
        <v>1140.3800000000001</v>
      </c>
      <c r="F38" s="50"/>
      <c r="G38" s="50"/>
      <c r="H38" s="50"/>
      <c r="I38" s="50"/>
      <c r="K38" s="52">
        <v>45763</v>
      </c>
      <c r="L38" s="53">
        <v>2177975</v>
      </c>
      <c r="N38" s="49">
        <v>45765</v>
      </c>
      <c r="O38" s="50">
        <v>726</v>
      </c>
      <c r="S38" s="54">
        <v>44835</v>
      </c>
      <c r="T38" s="55">
        <v>1028.7059999999999</v>
      </c>
      <c r="U38" s="56">
        <f t="shared" si="0"/>
        <v>6.3473501086934503E-2</v>
      </c>
      <c r="V38" s="56">
        <f t="shared" si="3"/>
        <v>0.88035684713137119</v>
      </c>
      <c r="Z38" s="54">
        <v>44835</v>
      </c>
      <c r="AA38" s="57">
        <v>147.90387757083866</v>
      </c>
    </row>
    <row r="39" spans="1:27">
      <c r="A39" s="49">
        <v>45765</v>
      </c>
      <c r="B39" s="50">
        <v>1165.93</v>
      </c>
      <c r="C39" s="50"/>
      <c r="D39" s="49">
        <v>45768</v>
      </c>
      <c r="E39" s="50">
        <v>1122.08</v>
      </c>
      <c r="F39" s="50"/>
      <c r="G39" s="50"/>
      <c r="H39" s="50"/>
      <c r="I39" s="50"/>
      <c r="K39" s="52">
        <v>45762</v>
      </c>
      <c r="L39" s="53">
        <v>2284279.5</v>
      </c>
      <c r="N39" s="49">
        <v>45764</v>
      </c>
      <c r="O39" s="50">
        <v>745</v>
      </c>
      <c r="S39" s="54">
        <v>44866</v>
      </c>
      <c r="T39" s="55">
        <v>1079.2787000000001</v>
      </c>
      <c r="U39" s="56">
        <f t="shared" si="0"/>
        <v>4.9161470818679165E-2</v>
      </c>
      <c r="V39" s="56">
        <f t="shared" si="3"/>
        <v>0.92412782322705045</v>
      </c>
      <c r="Z39" s="54">
        <v>44866</v>
      </c>
      <c r="AA39" s="57">
        <v>147.0521777257245</v>
      </c>
    </row>
    <row r="40" spans="1:27">
      <c r="A40" s="49">
        <v>45764</v>
      </c>
      <c r="B40" s="50">
        <v>1165.93</v>
      </c>
      <c r="C40" s="50"/>
      <c r="D40" s="49">
        <v>45765</v>
      </c>
      <c r="E40" s="50">
        <v>1165.93</v>
      </c>
      <c r="F40" s="50"/>
      <c r="G40" s="50"/>
      <c r="H40" s="50"/>
      <c r="I40" s="50"/>
      <c r="K40" s="52">
        <v>45761</v>
      </c>
      <c r="L40" s="53">
        <v>2364950</v>
      </c>
      <c r="N40" s="49">
        <v>45763</v>
      </c>
      <c r="O40" s="50">
        <v>745</v>
      </c>
      <c r="S40" s="54">
        <v>44896</v>
      </c>
      <c r="T40" s="55">
        <v>1134.5875000000001</v>
      </c>
      <c r="U40" s="56">
        <f t="shared" si="0"/>
        <v>5.1246077588670946E-2</v>
      </c>
      <c r="V40" s="56">
        <f t="shared" si="3"/>
        <v>0.9479318233519185</v>
      </c>
      <c r="Z40" s="54">
        <v>44896</v>
      </c>
      <c r="AA40" s="57">
        <v>147.32275597413269</v>
      </c>
    </row>
    <row r="41" spans="1:27">
      <c r="A41" s="49">
        <v>45763</v>
      </c>
      <c r="B41" s="50">
        <v>1165.93</v>
      </c>
      <c r="C41" s="50"/>
      <c r="D41" s="49">
        <v>45764</v>
      </c>
      <c r="E41" s="50">
        <v>1165.93</v>
      </c>
      <c r="F41" s="50"/>
      <c r="G41" s="50"/>
      <c r="H41" s="50"/>
      <c r="I41" s="50"/>
      <c r="K41" s="52">
        <v>45758</v>
      </c>
      <c r="L41" s="53">
        <v>2248803</v>
      </c>
      <c r="N41" s="49">
        <v>45762</v>
      </c>
      <c r="O41" s="50">
        <v>725</v>
      </c>
      <c r="S41" s="54">
        <v>44927</v>
      </c>
      <c r="T41" s="55">
        <v>1202.979</v>
      </c>
      <c r="U41" s="56">
        <f t="shared" si="0"/>
        <v>6.0278735663842564E-2</v>
      </c>
      <c r="V41" s="56">
        <f t="shared" si="3"/>
        <v>0.98829086145403622</v>
      </c>
      <c r="Z41" s="54">
        <v>44927</v>
      </c>
      <c r="AA41" s="57">
        <v>149.48744847363761</v>
      </c>
    </row>
    <row r="42" spans="1:27">
      <c r="A42" s="49">
        <v>45762</v>
      </c>
      <c r="B42" s="50">
        <v>1237.9000000000001</v>
      </c>
      <c r="C42" s="50"/>
      <c r="D42" s="49">
        <v>45763</v>
      </c>
      <c r="E42" s="50">
        <v>1165.93</v>
      </c>
      <c r="F42" s="50"/>
      <c r="G42" s="50"/>
      <c r="H42" s="50"/>
      <c r="I42" s="50"/>
      <c r="K42" s="52">
        <v>45757</v>
      </c>
      <c r="L42" s="53">
        <v>2111490.25</v>
      </c>
      <c r="N42" s="49">
        <v>45761</v>
      </c>
      <c r="O42" s="50">
        <v>896</v>
      </c>
      <c r="S42" s="54">
        <v>44958</v>
      </c>
      <c r="T42" s="55">
        <v>1282.7091</v>
      </c>
      <c r="U42" s="56">
        <f t="shared" si="0"/>
        <v>6.62772168092709E-2</v>
      </c>
      <c r="V42" s="56">
        <f t="shared" si="3"/>
        <v>1.025007968469017</v>
      </c>
      <c r="Z42" s="54">
        <v>44958</v>
      </c>
      <c r="AA42" s="57">
        <v>148.83850293111851</v>
      </c>
    </row>
    <row r="43" spans="1:27">
      <c r="A43" s="49">
        <v>45761</v>
      </c>
      <c r="B43" s="50">
        <v>1253.4000000000001</v>
      </c>
      <c r="C43" s="50"/>
      <c r="D43" s="49">
        <v>45762</v>
      </c>
      <c r="E43" s="50">
        <v>1237.9000000000001</v>
      </c>
      <c r="F43" s="50"/>
      <c r="G43" s="50"/>
      <c r="H43" s="50"/>
      <c r="I43" s="50"/>
      <c r="K43" s="52">
        <v>45756</v>
      </c>
      <c r="L43" s="53">
        <v>2183577</v>
      </c>
      <c r="N43" s="49">
        <v>45758</v>
      </c>
      <c r="O43" s="50">
        <v>874</v>
      </c>
      <c r="S43" s="54">
        <v>44986</v>
      </c>
      <c r="T43" s="55">
        <v>1381.1601000000001</v>
      </c>
      <c r="U43" s="56">
        <f t="shared" si="0"/>
        <v>7.675239849783555E-2</v>
      </c>
      <c r="V43" s="56">
        <f t="shared" si="3"/>
        <v>1.0429651896009893</v>
      </c>
      <c r="Z43" s="54">
        <v>44986</v>
      </c>
      <c r="AA43" s="57">
        <v>150.46362523755315</v>
      </c>
    </row>
    <row r="44" spans="1:27">
      <c r="A44" s="49">
        <v>45758</v>
      </c>
      <c r="B44" s="50">
        <v>1333.33</v>
      </c>
      <c r="C44" s="50"/>
      <c r="D44" s="49">
        <v>45761</v>
      </c>
      <c r="E44" s="50">
        <v>1253.4000000000001</v>
      </c>
      <c r="F44" s="50"/>
      <c r="G44" s="50"/>
      <c r="H44" s="50"/>
      <c r="I44" s="50"/>
      <c r="K44" s="52">
        <v>45755</v>
      </c>
      <c r="L44" s="53">
        <v>1990621.25</v>
      </c>
      <c r="N44" s="49">
        <v>45757</v>
      </c>
      <c r="O44" s="50">
        <v>899</v>
      </c>
      <c r="S44" s="54">
        <v>45017</v>
      </c>
      <c r="T44" s="55">
        <v>1497.2147</v>
      </c>
      <c r="U44" s="56">
        <f t="shared" si="0"/>
        <v>8.4026898836709663E-2</v>
      </c>
      <c r="V44" s="56">
        <f t="shared" si="3"/>
        <v>1.0883405987029038</v>
      </c>
      <c r="Z44" s="54">
        <v>45017</v>
      </c>
      <c r="AA44" s="57">
        <v>147.03962969184821</v>
      </c>
    </row>
    <row r="45" spans="1:27">
      <c r="A45" s="49">
        <v>45757</v>
      </c>
      <c r="B45" s="50">
        <v>1364.01</v>
      </c>
      <c r="C45" s="50"/>
      <c r="D45" s="49">
        <v>45758</v>
      </c>
      <c r="E45" s="50">
        <v>1333.33</v>
      </c>
      <c r="F45" s="50"/>
      <c r="G45" s="50"/>
      <c r="H45" s="50"/>
      <c r="I45" s="50"/>
      <c r="K45" s="52">
        <v>45754</v>
      </c>
      <c r="L45" s="53">
        <v>2025967.25</v>
      </c>
      <c r="N45" s="49">
        <v>45756</v>
      </c>
      <c r="O45" s="50">
        <v>889</v>
      </c>
      <c r="S45" s="54">
        <v>45047</v>
      </c>
      <c r="T45" s="55">
        <v>1613.5895</v>
      </c>
      <c r="U45" s="56">
        <f t="shared" si="0"/>
        <v>7.7727529658905947E-2</v>
      </c>
      <c r="V45" s="56">
        <f t="shared" si="3"/>
        <v>1.1424628923702809</v>
      </c>
      <c r="Z45" s="54">
        <v>45047</v>
      </c>
      <c r="AA45" s="57">
        <v>144.80979789183507</v>
      </c>
    </row>
    <row r="46" spans="1:27">
      <c r="A46" s="49">
        <v>45756</v>
      </c>
      <c r="B46" s="50">
        <v>1341.72</v>
      </c>
      <c r="C46" s="50"/>
      <c r="D46" s="49">
        <v>45757</v>
      </c>
      <c r="E46" s="50">
        <v>1364.01</v>
      </c>
      <c r="F46" s="50"/>
      <c r="G46" s="50"/>
      <c r="H46" s="50"/>
      <c r="I46" s="50"/>
      <c r="K46" s="52">
        <v>45751</v>
      </c>
      <c r="L46" s="53">
        <v>2107816</v>
      </c>
      <c r="N46" s="49">
        <v>45755</v>
      </c>
      <c r="O46" s="50">
        <v>978</v>
      </c>
      <c r="S46" s="54">
        <v>45078</v>
      </c>
      <c r="T46" s="55">
        <v>1709.6115</v>
      </c>
      <c r="U46" s="56">
        <f t="shared" si="0"/>
        <v>5.9508319805006149E-2</v>
      </c>
      <c r="V46" s="56">
        <f t="shared" si="3"/>
        <v>1.1558027347843294</v>
      </c>
      <c r="Z46" s="54">
        <v>45078</v>
      </c>
      <c r="AA46" s="57">
        <v>145.30397213184233</v>
      </c>
    </row>
    <row r="47" spans="1:27">
      <c r="A47" s="49">
        <v>45755</v>
      </c>
      <c r="B47" s="50">
        <v>1376.58</v>
      </c>
      <c r="C47" s="50"/>
      <c r="D47" s="49">
        <v>45756</v>
      </c>
      <c r="E47" s="50">
        <v>1341.72</v>
      </c>
      <c r="F47" s="50"/>
      <c r="G47" s="50"/>
      <c r="H47" s="50"/>
      <c r="I47" s="50"/>
      <c r="K47" s="52">
        <v>45750</v>
      </c>
      <c r="L47" s="53">
        <v>2275658.75</v>
      </c>
      <c r="N47" s="49">
        <v>45754</v>
      </c>
      <c r="O47" s="50">
        <v>960</v>
      </c>
      <c r="S47" s="54">
        <v>45108</v>
      </c>
      <c r="T47" s="55">
        <v>1818.0838000000001</v>
      </c>
      <c r="U47" s="56">
        <f t="shared" si="0"/>
        <v>6.3448508623157984E-2</v>
      </c>
      <c r="V47" s="56">
        <f t="shared" si="3"/>
        <v>1.1344999360149153</v>
      </c>
      <c r="Z47" s="54">
        <v>45108</v>
      </c>
      <c r="AA47" s="57">
        <v>147.33541937008806</v>
      </c>
    </row>
    <row r="48" spans="1:27">
      <c r="A48" s="49">
        <v>45754</v>
      </c>
      <c r="B48" s="50">
        <v>1370.35</v>
      </c>
      <c r="C48" s="50"/>
      <c r="D48" s="49">
        <v>45755</v>
      </c>
      <c r="E48" s="50">
        <v>1376.58</v>
      </c>
      <c r="F48" s="50"/>
      <c r="G48" s="50"/>
      <c r="H48" s="50"/>
      <c r="I48" s="50"/>
      <c r="K48" s="52">
        <v>45748</v>
      </c>
      <c r="L48" s="53">
        <v>2356530.75</v>
      </c>
      <c r="N48" s="49">
        <v>45751</v>
      </c>
      <c r="O48" s="50">
        <v>925</v>
      </c>
      <c r="S48" s="54">
        <v>45139</v>
      </c>
      <c r="T48" s="55">
        <v>2044.2832000000001</v>
      </c>
      <c r="U48" s="56">
        <f t="shared" si="0"/>
        <v>0.12441637728689958</v>
      </c>
      <c r="V48" s="56">
        <f t="shared" si="3"/>
        <v>1.2436750080888426</v>
      </c>
      <c r="Z48" s="54">
        <v>45139</v>
      </c>
      <c r="AA48" s="57">
        <v>149.11671829889627</v>
      </c>
    </row>
    <row r="49" spans="1:27">
      <c r="A49" s="49">
        <v>45751</v>
      </c>
      <c r="B49" s="50">
        <v>1340.44</v>
      </c>
      <c r="C49" s="50"/>
      <c r="D49" s="49">
        <v>45754</v>
      </c>
      <c r="E49" s="50">
        <v>1370.35</v>
      </c>
      <c r="F49" s="50"/>
      <c r="G49" s="50"/>
      <c r="H49" s="50"/>
      <c r="I49" s="50"/>
      <c r="K49" s="52">
        <v>45747</v>
      </c>
      <c r="L49" s="53">
        <v>2338760.75</v>
      </c>
      <c r="N49" s="49">
        <v>45750</v>
      </c>
      <c r="O49" s="50">
        <v>872</v>
      </c>
      <c r="S49" s="54">
        <v>45170</v>
      </c>
      <c r="T49" s="55">
        <v>2304.9241999999999</v>
      </c>
      <c r="U49" s="56">
        <f t="shared" si="0"/>
        <v>0.12749750132466953</v>
      </c>
      <c r="V49" s="56">
        <f t="shared" si="3"/>
        <v>1.3828244500508422</v>
      </c>
      <c r="Z49" s="54">
        <v>45170</v>
      </c>
      <c r="AA49" s="57">
        <v>148.79846088759902</v>
      </c>
    </row>
    <row r="50" spans="1:27">
      <c r="A50" s="49">
        <v>45750</v>
      </c>
      <c r="B50" s="50">
        <v>1319.42</v>
      </c>
      <c r="C50" s="50"/>
      <c r="D50" s="49">
        <v>45751</v>
      </c>
      <c r="E50" s="50">
        <v>1340.44</v>
      </c>
      <c r="F50" s="50"/>
      <c r="G50" s="50"/>
      <c r="H50" s="50"/>
      <c r="I50" s="50"/>
      <c r="K50" s="52">
        <v>45744</v>
      </c>
      <c r="L50" s="53">
        <v>2378562.75</v>
      </c>
      <c r="N50" s="49">
        <v>45749</v>
      </c>
      <c r="O50" s="50">
        <v>823</v>
      </c>
      <c r="S50" s="54">
        <v>45200</v>
      </c>
      <c r="T50" s="55">
        <v>2496.2730000000001</v>
      </c>
      <c r="U50" s="56">
        <f t="shared" si="0"/>
        <v>8.3017393804100115E-2</v>
      </c>
      <c r="V50" s="56">
        <f t="shared" si="3"/>
        <v>1.4266146012563361</v>
      </c>
      <c r="Z50" s="54">
        <v>45200</v>
      </c>
      <c r="AA50" s="57">
        <v>147.65708288437668</v>
      </c>
    </row>
    <row r="51" spans="1:27">
      <c r="A51" s="49">
        <v>45749</v>
      </c>
      <c r="B51" s="50">
        <v>1314.47</v>
      </c>
      <c r="C51" s="50"/>
      <c r="D51" s="49">
        <v>45750</v>
      </c>
      <c r="E51" s="50">
        <v>1319.42</v>
      </c>
      <c r="F51" s="50"/>
      <c r="G51" s="50"/>
      <c r="H51" s="50"/>
      <c r="I51" s="50"/>
      <c r="K51" s="52">
        <v>45743</v>
      </c>
      <c r="L51" s="53">
        <v>2412081.5</v>
      </c>
      <c r="N51" s="49">
        <v>45748</v>
      </c>
      <c r="O51" s="50">
        <v>823</v>
      </c>
      <c r="S51" s="54">
        <v>45231</v>
      </c>
      <c r="T51" s="55">
        <v>2816.0628000000002</v>
      </c>
      <c r="U51" s="56">
        <f t="shared" si="0"/>
        <v>0.1281069017691574</v>
      </c>
      <c r="V51" s="56">
        <f t="shared" si="3"/>
        <v>1.6092081683813459</v>
      </c>
      <c r="Z51" s="54">
        <v>45231</v>
      </c>
      <c r="AA51" s="57">
        <v>145.58185164980316</v>
      </c>
    </row>
    <row r="52" spans="1:27">
      <c r="A52" s="49">
        <v>45748</v>
      </c>
      <c r="B52" s="50">
        <v>1314.47</v>
      </c>
      <c r="C52" s="50"/>
      <c r="D52" s="49">
        <v>45749</v>
      </c>
      <c r="E52" s="50">
        <v>1314.47</v>
      </c>
      <c r="F52" s="50"/>
      <c r="G52" s="50"/>
      <c r="H52" s="50"/>
      <c r="I52" s="50"/>
      <c r="K52" s="52">
        <v>45742</v>
      </c>
      <c r="L52" s="53">
        <v>2439966.25</v>
      </c>
      <c r="N52" s="49">
        <v>45747</v>
      </c>
      <c r="O52" s="50">
        <v>816</v>
      </c>
      <c r="S52" s="54">
        <v>45261</v>
      </c>
      <c r="T52" s="55">
        <v>3533.1922</v>
      </c>
      <c r="U52" s="56">
        <f t="shared" si="0"/>
        <v>0.25465674984236841</v>
      </c>
      <c r="V52" s="56">
        <f t="shared" si="3"/>
        <v>2.114076437471768</v>
      </c>
      <c r="Z52" s="54">
        <v>45261</v>
      </c>
      <c r="AA52" s="57">
        <v>142.89272350369151</v>
      </c>
    </row>
    <row r="53" spans="1:27">
      <c r="A53" s="49">
        <v>45747</v>
      </c>
      <c r="B53" s="50">
        <v>1313.97</v>
      </c>
      <c r="C53" s="50"/>
      <c r="D53" s="49">
        <v>45748</v>
      </c>
      <c r="E53" s="50">
        <v>1314.47</v>
      </c>
      <c r="F53" s="50"/>
      <c r="G53" s="50"/>
      <c r="H53" s="50"/>
      <c r="I53" s="50"/>
      <c r="K53" s="52">
        <v>45741</v>
      </c>
      <c r="L53" s="53">
        <v>2487679.75</v>
      </c>
      <c r="N53" s="49">
        <v>45744</v>
      </c>
      <c r="O53" s="50">
        <v>797</v>
      </c>
      <c r="S53" s="54">
        <v>45292</v>
      </c>
      <c r="T53" s="55">
        <v>4261.5324000000001</v>
      </c>
      <c r="U53" s="56">
        <f t="shared" si="0"/>
        <v>0.20614225288961063</v>
      </c>
      <c r="V53" s="56">
        <f t="shared" si="3"/>
        <v>2.542482786482557</v>
      </c>
      <c r="Z53" s="54">
        <v>45292</v>
      </c>
      <c r="AA53" s="57">
        <v>143.24665177211284</v>
      </c>
    </row>
    <row r="54" spans="1:27">
      <c r="A54" s="49">
        <v>45744</v>
      </c>
      <c r="B54" s="50">
        <v>1302.44</v>
      </c>
      <c r="C54" s="50"/>
      <c r="D54" s="49">
        <v>45747</v>
      </c>
      <c r="E54" s="50">
        <v>1313.97</v>
      </c>
      <c r="F54" s="50"/>
      <c r="G54" s="50"/>
      <c r="H54" s="50"/>
      <c r="I54" s="50"/>
      <c r="K54" s="52">
        <v>45737</v>
      </c>
      <c r="L54" s="53">
        <v>2433538.25</v>
      </c>
      <c r="N54" s="49">
        <v>45743</v>
      </c>
      <c r="O54" s="50">
        <v>759</v>
      </c>
      <c r="S54" s="54">
        <v>45323</v>
      </c>
      <c r="T54" s="55">
        <v>4825.7880999999998</v>
      </c>
      <c r="U54" s="56">
        <f t="shared" si="0"/>
        <v>0.13240676053524769</v>
      </c>
      <c r="V54" s="56">
        <f t="shared" si="3"/>
        <v>2.7621843487350324</v>
      </c>
      <c r="Z54" s="54">
        <v>45323</v>
      </c>
      <c r="AA54" s="57">
        <v>142.72178162942211</v>
      </c>
    </row>
    <row r="55" spans="1:27">
      <c r="A55" s="49">
        <v>45743</v>
      </c>
      <c r="B55" s="50">
        <v>1292.29</v>
      </c>
      <c r="C55" s="50"/>
      <c r="D55" s="49">
        <v>45744</v>
      </c>
      <c r="E55" s="50">
        <v>1302.44</v>
      </c>
      <c r="F55" s="50"/>
      <c r="G55" s="50"/>
      <c r="H55" s="50"/>
      <c r="I55" s="50"/>
      <c r="K55" s="52">
        <v>45736</v>
      </c>
      <c r="L55" s="53">
        <v>2361583</v>
      </c>
      <c r="N55" s="49">
        <v>45742</v>
      </c>
      <c r="O55" s="50">
        <v>769</v>
      </c>
      <c r="S55" s="54">
        <v>45352</v>
      </c>
      <c r="T55" s="55">
        <v>5357.0928999999996</v>
      </c>
      <c r="U55" s="56">
        <f t="shared" si="0"/>
        <v>0.11009700156540236</v>
      </c>
      <c r="V55" s="56">
        <f t="shared" si="3"/>
        <v>2.8786907470031893</v>
      </c>
      <c r="Z55" s="54">
        <v>45352</v>
      </c>
      <c r="AA55" s="57">
        <v>141.63783664452265</v>
      </c>
    </row>
    <row r="56" spans="1:27">
      <c r="A56" s="49">
        <v>45742</v>
      </c>
      <c r="B56" s="50">
        <v>1295.6300000000001</v>
      </c>
      <c r="C56" s="50"/>
      <c r="D56" s="49">
        <v>45743</v>
      </c>
      <c r="E56" s="50">
        <v>1292.29</v>
      </c>
      <c r="F56" s="50"/>
      <c r="G56" s="50"/>
      <c r="H56" s="50"/>
      <c r="I56" s="50"/>
      <c r="K56" s="52">
        <v>45735</v>
      </c>
      <c r="L56" s="53">
        <v>2392030</v>
      </c>
      <c r="N56" s="49">
        <v>45741</v>
      </c>
      <c r="O56" s="50">
        <v>761</v>
      </c>
      <c r="S56" s="54">
        <v>45383</v>
      </c>
      <c r="T56" s="55">
        <v>5830.2271000000001</v>
      </c>
      <c r="U56" s="56">
        <f t="shared" si="0"/>
        <v>8.8319207606050831E-2</v>
      </c>
      <c r="V56" s="56">
        <f t="shared" si="3"/>
        <v>2.894048796074471</v>
      </c>
      <c r="Z56" s="54">
        <v>45383</v>
      </c>
      <c r="AA56" s="57">
        <v>139.89994420355353</v>
      </c>
    </row>
    <row r="57" spans="1:27">
      <c r="A57" s="49">
        <v>45741</v>
      </c>
      <c r="B57" s="50">
        <v>1294.3</v>
      </c>
      <c r="C57" s="50"/>
      <c r="D57" s="49">
        <v>45742</v>
      </c>
      <c r="E57" s="50">
        <v>1295.6300000000001</v>
      </c>
      <c r="F57" s="50"/>
      <c r="G57" s="50"/>
      <c r="H57" s="50"/>
      <c r="I57" s="50"/>
      <c r="K57" s="52">
        <v>45734</v>
      </c>
      <c r="L57" s="53">
        <v>2288538</v>
      </c>
      <c r="N57" s="49">
        <v>45737</v>
      </c>
      <c r="O57" s="50">
        <v>769</v>
      </c>
      <c r="S57" s="54">
        <v>45413</v>
      </c>
      <c r="T57" s="55">
        <v>6073.7165000000005</v>
      </c>
      <c r="U57" s="56">
        <f t="shared" si="0"/>
        <v>4.176327882665154E-2</v>
      </c>
      <c r="V57" s="56">
        <f t="shared" si="3"/>
        <v>2.7641026419668697</v>
      </c>
      <c r="Z57" s="54">
        <v>45413</v>
      </c>
      <c r="AA57" s="57">
        <v>141.22740793601295</v>
      </c>
    </row>
    <row r="58" spans="1:27">
      <c r="A58" s="49">
        <v>45740</v>
      </c>
      <c r="B58" s="50">
        <v>1287.22</v>
      </c>
      <c r="C58" s="50"/>
      <c r="D58" s="49">
        <v>45741</v>
      </c>
      <c r="E58" s="50">
        <v>1294.3</v>
      </c>
      <c r="F58" s="50"/>
      <c r="G58" s="50"/>
      <c r="H58" s="50"/>
      <c r="I58" s="50"/>
      <c r="K58" s="52">
        <v>45733</v>
      </c>
      <c r="L58" s="53">
        <v>2346305.5</v>
      </c>
      <c r="N58" s="49">
        <v>45736</v>
      </c>
      <c r="O58" s="50">
        <v>762</v>
      </c>
      <c r="S58" s="54">
        <v>45444</v>
      </c>
      <c r="T58" s="55">
        <v>6351.7145</v>
      </c>
      <c r="U58" s="56">
        <f t="shared" si="0"/>
        <v>4.5770657883027477E-2</v>
      </c>
      <c r="V58" s="56">
        <f t="shared" si="3"/>
        <v>2.7152970133857899</v>
      </c>
      <c r="Z58" s="54">
        <v>45444</v>
      </c>
      <c r="AA58" s="57">
        <v>141.59163948607974</v>
      </c>
    </row>
    <row r="59" spans="1:27">
      <c r="A59" s="49">
        <v>45737</v>
      </c>
      <c r="B59" s="50">
        <v>1287.22</v>
      </c>
      <c r="C59" s="50"/>
      <c r="D59" s="49">
        <v>45740</v>
      </c>
      <c r="E59" s="50">
        <v>1287.22</v>
      </c>
      <c r="F59" s="50"/>
      <c r="G59" s="50"/>
      <c r="H59" s="50"/>
      <c r="I59" s="50"/>
      <c r="K59" s="52">
        <v>45730</v>
      </c>
      <c r="L59" s="53">
        <v>2335574.75</v>
      </c>
      <c r="N59" s="49">
        <v>45735</v>
      </c>
      <c r="O59" s="50">
        <v>777</v>
      </c>
      <c r="S59" s="54">
        <v>45474</v>
      </c>
      <c r="T59" s="55">
        <v>6607.7479000000003</v>
      </c>
      <c r="U59" s="56">
        <f t="shared" si="0"/>
        <v>4.0309336951463992E-2</v>
      </c>
      <c r="V59" s="56">
        <f t="shared" si="3"/>
        <v>2.6344572785918889</v>
      </c>
      <c r="Z59" s="54">
        <v>45474</v>
      </c>
      <c r="AA59" s="57">
        <v>145.52644798281696</v>
      </c>
    </row>
    <row r="60" spans="1:27">
      <c r="A60" s="49">
        <v>45736</v>
      </c>
      <c r="B60" s="50">
        <v>1287.5899999999999</v>
      </c>
      <c r="C60" s="50"/>
      <c r="D60" s="49">
        <v>45737</v>
      </c>
      <c r="E60" s="50">
        <v>1287.22</v>
      </c>
      <c r="F60" s="50"/>
      <c r="G60" s="50"/>
      <c r="H60" s="50"/>
      <c r="I60" s="50"/>
      <c r="K60" s="52">
        <v>45729</v>
      </c>
      <c r="L60" s="53">
        <v>2232180</v>
      </c>
      <c r="N60" s="49">
        <v>45734</v>
      </c>
      <c r="O60" s="50">
        <v>787</v>
      </c>
      <c r="S60" s="54">
        <v>45505</v>
      </c>
      <c r="T60" s="55">
        <v>6883.4412000000002</v>
      </c>
      <c r="U60" s="56">
        <f t="shared" si="0"/>
        <v>4.1722732793725292E-2</v>
      </c>
      <c r="V60" s="56">
        <f t="shared" si="3"/>
        <v>2.3671661538870934</v>
      </c>
      <c r="Z60" s="54">
        <v>45505</v>
      </c>
      <c r="AA60" s="57">
        <v>146.9757891886679</v>
      </c>
    </row>
    <row r="61" spans="1:27">
      <c r="A61" s="49">
        <v>45735</v>
      </c>
      <c r="B61" s="50">
        <v>1286.3800000000001</v>
      </c>
      <c r="C61" s="50"/>
      <c r="D61" s="49">
        <v>45736</v>
      </c>
      <c r="E61" s="50">
        <v>1287.5899999999999</v>
      </c>
      <c r="F61" s="50"/>
      <c r="G61" s="50"/>
      <c r="H61" s="50"/>
      <c r="I61" s="50"/>
      <c r="K61" s="52">
        <v>45728</v>
      </c>
      <c r="L61" s="53">
        <v>2272936.75</v>
      </c>
      <c r="N61" s="49">
        <v>45733</v>
      </c>
      <c r="O61" s="50">
        <v>750</v>
      </c>
      <c r="S61" s="54">
        <v>45536</v>
      </c>
      <c r="T61" s="55">
        <v>7122.2421000000004</v>
      </c>
      <c r="U61" s="56">
        <f t="shared" si="0"/>
        <v>3.4692081048066425E-2</v>
      </c>
      <c r="V61" s="56">
        <f t="shared" si="3"/>
        <v>2.0900114198983206</v>
      </c>
      <c r="Z61" s="54">
        <v>45536</v>
      </c>
      <c r="AA61" s="57">
        <v>146.96723797678519</v>
      </c>
    </row>
    <row r="62" spans="1:27">
      <c r="A62" s="49">
        <v>45734</v>
      </c>
      <c r="B62" s="50">
        <v>1299.32</v>
      </c>
      <c r="C62" s="50"/>
      <c r="D62" s="49">
        <v>45735</v>
      </c>
      <c r="E62" s="50">
        <v>1286.3800000000001</v>
      </c>
      <c r="F62" s="50"/>
      <c r="G62" s="50"/>
      <c r="H62" s="50"/>
      <c r="I62" s="50"/>
      <c r="K62" s="52">
        <v>45727</v>
      </c>
      <c r="L62" s="53">
        <v>2159499.75</v>
      </c>
      <c r="N62" s="49">
        <v>45730</v>
      </c>
      <c r="O62" s="50">
        <v>737</v>
      </c>
      <c r="S62" s="54">
        <v>45566</v>
      </c>
      <c r="T62" s="55">
        <v>7313.9542000000001</v>
      </c>
      <c r="U62" s="56">
        <f t="shared" si="0"/>
        <v>2.6917380413114644E-2</v>
      </c>
      <c r="V62" s="56">
        <f t="shared" si="3"/>
        <v>1.9299496489366348</v>
      </c>
      <c r="Z62" s="54">
        <v>45566</v>
      </c>
      <c r="AA62" s="57">
        <v>147.57858865905723</v>
      </c>
    </row>
    <row r="63" spans="1:27">
      <c r="A63" s="49">
        <v>45733</v>
      </c>
      <c r="B63" s="50">
        <v>1250.5899999999999</v>
      </c>
      <c r="C63" s="50"/>
      <c r="D63" s="49">
        <v>45734</v>
      </c>
      <c r="E63" s="50">
        <v>1299.32</v>
      </c>
      <c r="F63" s="50"/>
      <c r="G63" s="50"/>
      <c r="H63" s="50"/>
      <c r="I63" s="50"/>
      <c r="K63" s="52">
        <v>45726</v>
      </c>
      <c r="L63" s="53">
        <v>2138846.25</v>
      </c>
      <c r="N63" s="49">
        <v>45729</v>
      </c>
      <c r="O63" s="50">
        <v>748</v>
      </c>
      <c r="S63" s="54">
        <v>45597</v>
      </c>
      <c r="T63" s="55">
        <v>7491.4314000000004</v>
      </c>
      <c r="U63" s="56">
        <f t="shared" si="0"/>
        <v>2.4265560755083682E-2</v>
      </c>
      <c r="V63" s="56">
        <f t="shared" si="3"/>
        <v>1.6602501194220527</v>
      </c>
      <c r="Z63" s="54">
        <v>45597</v>
      </c>
      <c r="AA63" s="57">
        <v>148.88806826851788</v>
      </c>
    </row>
    <row r="64" spans="1:27">
      <c r="A64" s="49">
        <v>45730</v>
      </c>
      <c r="B64" s="50">
        <v>1237.78</v>
      </c>
      <c r="C64" s="50"/>
      <c r="D64" s="49">
        <v>45733</v>
      </c>
      <c r="E64" s="50">
        <v>1250.5899999999999</v>
      </c>
      <c r="F64" s="50"/>
      <c r="G64" s="50"/>
      <c r="H64" s="50"/>
      <c r="I64" s="50"/>
      <c r="K64" s="52">
        <v>45723</v>
      </c>
      <c r="L64" s="53">
        <v>2262289.25</v>
      </c>
      <c r="N64" s="49">
        <v>45728</v>
      </c>
      <c r="O64" s="50">
        <v>718</v>
      </c>
      <c r="S64" s="54">
        <v>45627</v>
      </c>
      <c r="T64" s="55">
        <v>7694.0074999999997</v>
      </c>
      <c r="U64" s="56">
        <f t="shared" si="0"/>
        <v>2.7041040514633741E-2</v>
      </c>
      <c r="V64" s="56">
        <f t="shared" si="3"/>
        <v>1.1776362746413853</v>
      </c>
      <c r="Z64" s="54">
        <v>45627</v>
      </c>
      <c r="AA64" s="57">
        <v>150.68166185037302</v>
      </c>
    </row>
    <row r="65" spans="1:27">
      <c r="A65" s="49">
        <v>45729</v>
      </c>
      <c r="B65" s="50">
        <v>1233.55</v>
      </c>
      <c r="C65" s="50"/>
      <c r="D65" s="49">
        <v>45730</v>
      </c>
      <c r="E65" s="50">
        <v>1237.78</v>
      </c>
      <c r="F65" s="50"/>
      <c r="G65" s="50"/>
      <c r="H65" s="50"/>
      <c r="I65" s="50"/>
      <c r="K65" s="52">
        <v>45722</v>
      </c>
      <c r="L65" s="53">
        <v>2270181.25</v>
      </c>
      <c r="N65" s="49">
        <v>45727</v>
      </c>
      <c r="O65" s="50">
        <v>723</v>
      </c>
      <c r="S65" s="54">
        <v>45658</v>
      </c>
      <c r="T65" s="55">
        <v>7864.1256999999996</v>
      </c>
      <c r="U65" s="56">
        <f t="shared" si="0"/>
        <v>2.2110480136651844E-2</v>
      </c>
      <c r="V65" s="56">
        <f t="shared" si="3"/>
        <v>0.84537508150823859</v>
      </c>
      <c r="Z65" s="54">
        <v>45658</v>
      </c>
      <c r="AA65" s="57">
        <v>151.46935646754545</v>
      </c>
    </row>
    <row r="66" spans="1:27">
      <c r="A66" s="49">
        <v>45728</v>
      </c>
      <c r="B66" s="50">
        <v>1229.3399999999999</v>
      </c>
      <c r="C66" s="50"/>
      <c r="D66" s="49">
        <v>45729</v>
      </c>
      <c r="E66" s="50">
        <v>1233.55</v>
      </c>
      <c r="F66" s="50"/>
      <c r="G66" s="50"/>
      <c r="H66" s="50"/>
      <c r="I66" s="50"/>
      <c r="K66" s="52">
        <v>45721</v>
      </c>
      <c r="L66" s="53">
        <v>2290050</v>
      </c>
      <c r="N66" s="49">
        <v>45726</v>
      </c>
      <c r="O66" s="50">
        <v>723</v>
      </c>
      <c r="S66" s="54">
        <v>45689</v>
      </c>
      <c r="T66" s="55">
        <v>8052.9926999999998</v>
      </c>
      <c r="U66" s="56">
        <f t="shared" si="0"/>
        <v>2.4016274307517849E-2</v>
      </c>
      <c r="V66" s="56">
        <f t="shared" si="3"/>
        <v>0.66874146421804137</v>
      </c>
      <c r="Z66" s="54">
        <v>45689</v>
      </c>
      <c r="AA66" s="57">
        <v>152.59215020587951</v>
      </c>
    </row>
    <row r="67" spans="1:27">
      <c r="A67" s="49">
        <v>45727</v>
      </c>
      <c r="B67" s="50">
        <v>1230.3800000000001</v>
      </c>
      <c r="C67" s="50"/>
      <c r="D67" s="49">
        <v>45728</v>
      </c>
      <c r="E67" s="50">
        <v>1229.3399999999999</v>
      </c>
      <c r="F67" s="50"/>
      <c r="G67" s="50"/>
      <c r="H67" s="50"/>
      <c r="I67" s="50"/>
      <c r="K67" s="52">
        <v>45716</v>
      </c>
      <c r="L67" s="53">
        <v>2205800.5</v>
      </c>
      <c r="N67" s="49">
        <v>45723</v>
      </c>
      <c r="O67" s="50">
        <v>692</v>
      </c>
      <c r="S67" s="54">
        <v>45717</v>
      </c>
      <c r="T67" s="55">
        <v>8353.3158000000003</v>
      </c>
      <c r="U67" s="56">
        <f t="shared" si="0"/>
        <v>3.7293353066121693E-2</v>
      </c>
      <c r="V67" s="56">
        <f t="shared" si="3"/>
        <v>0.55930015699373081</v>
      </c>
      <c r="Z67" s="54">
        <v>45717</v>
      </c>
      <c r="AA67" s="59">
        <v>149.89801165594932</v>
      </c>
    </row>
    <row r="68" spans="1:27">
      <c r="A68" s="49">
        <v>45726</v>
      </c>
      <c r="B68" s="50">
        <v>1228.92</v>
      </c>
      <c r="C68" s="50"/>
      <c r="D68" s="49">
        <v>45727</v>
      </c>
      <c r="E68" s="50">
        <v>1230.3800000000001</v>
      </c>
      <c r="F68" s="50"/>
      <c r="G68" s="50"/>
      <c r="H68" s="50"/>
      <c r="I68" s="50"/>
      <c r="K68" s="52">
        <v>45715</v>
      </c>
      <c r="L68" s="53">
        <v>2193656.75</v>
      </c>
      <c r="N68" s="49">
        <v>45722</v>
      </c>
      <c r="O68" s="50">
        <v>714</v>
      </c>
      <c r="S68" s="54">
        <v>45748</v>
      </c>
      <c r="T68" s="55">
        <v>8585.6077999999998</v>
      </c>
      <c r="U68" s="56">
        <f t="shared" si="0"/>
        <v>2.7808358448509596E-2</v>
      </c>
      <c r="V68" s="56">
        <f t="shared" si="3"/>
        <v>0.47260263669660474</v>
      </c>
      <c r="Z68" s="54">
        <v>45748</v>
      </c>
    </row>
    <row r="69" spans="1:27">
      <c r="A69" s="49">
        <v>45723</v>
      </c>
      <c r="B69" s="50">
        <v>1221.93</v>
      </c>
      <c r="C69" s="50"/>
      <c r="D69" s="49">
        <v>45726</v>
      </c>
      <c r="E69" s="50">
        <v>1228.92</v>
      </c>
      <c r="F69" s="50"/>
      <c r="G69" s="50"/>
      <c r="H69" s="50"/>
      <c r="I69" s="50"/>
      <c r="K69" s="52">
        <v>45714</v>
      </c>
      <c r="L69" s="53">
        <v>2275036.75</v>
      </c>
      <c r="N69" s="49">
        <v>45721</v>
      </c>
      <c r="O69" s="50">
        <v>717</v>
      </c>
    </row>
    <row r="70" spans="1:27">
      <c r="A70" s="49">
        <v>45722</v>
      </c>
      <c r="B70" s="50">
        <v>1237.8599999999999</v>
      </c>
      <c r="C70" s="50"/>
      <c r="D70" s="49">
        <v>45723</v>
      </c>
      <c r="E70" s="50">
        <v>1221.93</v>
      </c>
      <c r="F70" s="50"/>
      <c r="G70" s="50"/>
      <c r="H70" s="50"/>
      <c r="I70" s="50"/>
      <c r="K70" s="52">
        <v>45713</v>
      </c>
      <c r="L70" s="53">
        <v>2282898.75</v>
      </c>
      <c r="N70" s="49">
        <v>45720</v>
      </c>
      <c r="O70" s="50">
        <v>780</v>
      </c>
    </row>
    <row r="71" spans="1:27">
      <c r="A71" s="49">
        <v>45721</v>
      </c>
      <c r="B71" s="50">
        <v>1235.31</v>
      </c>
      <c r="C71" s="50"/>
      <c r="D71" s="49">
        <v>45722</v>
      </c>
      <c r="E71" s="50">
        <v>1237.8599999999999</v>
      </c>
      <c r="F71" s="50"/>
      <c r="G71" s="50"/>
      <c r="H71" s="50"/>
      <c r="I71" s="50"/>
      <c r="K71" s="52">
        <v>45712</v>
      </c>
      <c r="L71" s="53">
        <v>2348398.5</v>
      </c>
      <c r="N71" s="49">
        <v>45719</v>
      </c>
      <c r="O71" s="50">
        <v>780</v>
      </c>
    </row>
    <row r="72" spans="1:27">
      <c r="A72" s="49">
        <v>45720</v>
      </c>
      <c r="B72" s="50">
        <v>1228.48</v>
      </c>
      <c r="C72" s="50"/>
      <c r="D72" s="49">
        <v>45721</v>
      </c>
      <c r="E72" s="50">
        <v>1235.31</v>
      </c>
      <c r="F72" s="50"/>
      <c r="G72" s="50"/>
      <c r="H72" s="50"/>
      <c r="I72" s="50"/>
      <c r="K72" s="52">
        <v>45709</v>
      </c>
      <c r="L72" s="53">
        <v>2364529.5</v>
      </c>
      <c r="N72" s="49">
        <v>45716</v>
      </c>
      <c r="O72" s="50">
        <v>780</v>
      </c>
    </row>
    <row r="73" spans="1:27">
      <c r="A73" s="49">
        <v>45719</v>
      </c>
      <c r="B73" s="50">
        <v>1228.48</v>
      </c>
      <c r="C73" s="50"/>
      <c r="D73" s="49">
        <v>45720</v>
      </c>
      <c r="E73" s="50">
        <v>1228.48</v>
      </c>
      <c r="F73" s="50"/>
      <c r="G73" s="50"/>
      <c r="H73" s="50"/>
      <c r="I73" s="50"/>
      <c r="K73" s="52">
        <v>45708</v>
      </c>
      <c r="L73" s="53">
        <v>2410221</v>
      </c>
      <c r="N73" s="49">
        <v>45715</v>
      </c>
      <c r="O73" s="50">
        <v>769</v>
      </c>
    </row>
    <row r="74" spans="1:27">
      <c r="A74" s="49">
        <v>45716</v>
      </c>
      <c r="B74" s="50">
        <v>1228.48</v>
      </c>
      <c r="C74" s="50"/>
      <c r="D74" s="49">
        <v>45719</v>
      </c>
      <c r="E74" s="50">
        <v>1228.48</v>
      </c>
      <c r="F74" s="50"/>
      <c r="G74" s="50"/>
      <c r="H74" s="50"/>
      <c r="I74" s="50"/>
      <c r="K74" s="52">
        <v>45707</v>
      </c>
      <c r="L74" s="53">
        <v>2401579.75</v>
      </c>
      <c r="N74" s="49">
        <v>45714</v>
      </c>
      <c r="O74" s="50">
        <v>749</v>
      </c>
    </row>
    <row r="75" spans="1:27">
      <c r="A75" s="49">
        <v>45715</v>
      </c>
      <c r="B75" s="50">
        <v>1215.29</v>
      </c>
      <c r="C75" s="50"/>
      <c r="D75" s="49">
        <v>45716</v>
      </c>
      <c r="E75" s="50">
        <v>1228.48</v>
      </c>
      <c r="F75" s="50"/>
      <c r="G75" s="50"/>
      <c r="H75" s="50"/>
      <c r="I75" s="50"/>
      <c r="K75" s="52">
        <v>45706</v>
      </c>
      <c r="L75" s="53">
        <v>2391724.75</v>
      </c>
      <c r="N75" s="49">
        <v>45713</v>
      </c>
      <c r="O75" s="50">
        <v>748</v>
      </c>
    </row>
    <row r="76" spans="1:27">
      <c r="A76" s="49">
        <v>45714</v>
      </c>
      <c r="B76" s="50">
        <v>1211.56</v>
      </c>
      <c r="C76" s="50"/>
      <c r="D76" s="49">
        <v>45715</v>
      </c>
      <c r="E76" s="50">
        <v>1215.29</v>
      </c>
      <c r="F76" s="50"/>
      <c r="G76" s="50"/>
      <c r="H76" s="50"/>
      <c r="I76" s="50"/>
      <c r="K76" s="52">
        <v>45705</v>
      </c>
      <c r="L76" s="53">
        <v>2254188.75</v>
      </c>
      <c r="N76" s="49">
        <v>45712</v>
      </c>
      <c r="O76" s="50">
        <v>730</v>
      </c>
    </row>
    <row r="77" spans="1:27">
      <c r="A77" s="49">
        <v>45713</v>
      </c>
      <c r="B77" s="50">
        <v>1211.96</v>
      </c>
      <c r="C77" s="50"/>
      <c r="D77" s="49">
        <v>45714</v>
      </c>
      <c r="E77" s="50">
        <v>1211.56</v>
      </c>
      <c r="F77" s="50"/>
      <c r="G77" s="50"/>
      <c r="H77" s="50"/>
      <c r="I77" s="50"/>
      <c r="K77" s="52">
        <v>45702</v>
      </c>
      <c r="L77" s="53">
        <v>2387385.75</v>
      </c>
      <c r="N77" s="49">
        <v>45709</v>
      </c>
      <c r="O77" s="50">
        <v>720</v>
      </c>
    </row>
    <row r="78" spans="1:27">
      <c r="A78" s="49">
        <v>45712</v>
      </c>
      <c r="B78" s="50">
        <v>1207.48</v>
      </c>
      <c r="C78" s="50"/>
      <c r="D78" s="49">
        <v>45713</v>
      </c>
      <c r="E78" s="50">
        <v>1211.96</v>
      </c>
      <c r="F78" s="50"/>
      <c r="G78" s="50"/>
      <c r="H78" s="50"/>
      <c r="I78" s="50"/>
      <c r="K78" s="52">
        <v>45701</v>
      </c>
      <c r="L78" s="53">
        <v>2353743.75</v>
      </c>
      <c r="N78" s="49">
        <v>45708</v>
      </c>
      <c r="O78" s="50">
        <v>719</v>
      </c>
    </row>
    <row r="79" spans="1:27">
      <c r="A79" s="49">
        <v>45709</v>
      </c>
      <c r="B79" s="50">
        <v>1205.8800000000001</v>
      </c>
      <c r="C79" s="50"/>
      <c r="D79" s="49">
        <v>45712</v>
      </c>
      <c r="E79" s="50">
        <v>1207.48</v>
      </c>
      <c r="F79" s="50"/>
      <c r="G79" s="50"/>
      <c r="H79" s="50"/>
      <c r="I79" s="50"/>
      <c r="K79" s="52">
        <v>45700</v>
      </c>
      <c r="L79" s="53">
        <v>2285846.5</v>
      </c>
      <c r="N79" s="49">
        <v>45707</v>
      </c>
      <c r="O79" s="50">
        <v>719</v>
      </c>
    </row>
    <row r="80" spans="1:27">
      <c r="A80" s="49">
        <v>45708</v>
      </c>
      <c r="B80" s="50">
        <v>1206.06</v>
      </c>
      <c r="C80" s="50"/>
      <c r="D80" s="49">
        <v>45709</v>
      </c>
      <c r="E80" s="50">
        <v>1205.8800000000001</v>
      </c>
      <c r="F80" s="50"/>
      <c r="G80" s="50"/>
      <c r="H80" s="50"/>
      <c r="I80" s="50"/>
      <c r="K80" s="52">
        <v>45699</v>
      </c>
      <c r="L80" s="53">
        <v>2273568</v>
      </c>
      <c r="N80" s="49">
        <v>45706</v>
      </c>
      <c r="O80" s="50">
        <v>696</v>
      </c>
    </row>
    <row r="81" spans="1:15">
      <c r="A81" s="49">
        <v>45707</v>
      </c>
      <c r="B81" s="50">
        <v>1201.8599999999999</v>
      </c>
      <c r="C81" s="50"/>
      <c r="D81" s="49">
        <v>45708</v>
      </c>
      <c r="E81" s="50">
        <v>1206.06</v>
      </c>
      <c r="F81" s="50"/>
      <c r="G81" s="50"/>
      <c r="H81" s="50"/>
      <c r="I81" s="50"/>
      <c r="K81" s="52">
        <v>45698</v>
      </c>
      <c r="L81" s="53">
        <v>2391367.5</v>
      </c>
      <c r="N81" s="49">
        <v>45705</v>
      </c>
      <c r="O81" s="50">
        <v>675</v>
      </c>
    </row>
    <row r="82" spans="1:15">
      <c r="A82" s="49">
        <v>45706</v>
      </c>
      <c r="B82" s="50">
        <v>1203.1600000000001</v>
      </c>
      <c r="C82" s="50"/>
      <c r="D82" s="49">
        <v>45707</v>
      </c>
      <c r="E82" s="50">
        <v>1201.8599999999999</v>
      </c>
      <c r="F82" s="50"/>
      <c r="G82" s="50"/>
      <c r="H82" s="50"/>
      <c r="I82" s="50"/>
      <c r="K82" s="52">
        <v>45695</v>
      </c>
      <c r="L82" s="53">
        <v>2416381.75</v>
      </c>
      <c r="N82" s="49">
        <v>45702</v>
      </c>
      <c r="O82" s="50">
        <v>675</v>
      </c>
    </row>
    <row r="83" spans="1:15">
      <c r="A83" s="49">
        <v>45705</v>
      </c>
      <c r="B83" s="50">
        <v>1210.0899999999999</v>
      </c>
      <c r="C83" s="50"/>
      <c r="D83" s="49">
        <v>45706</v>
      </c>
      <c r="E83" s="50">
        <v>1203.1600000000001</v>
      </c>
      <c r="F83" s="50"/>
      <c r="G83" s="50"/>
      <c r="H83" s="50"/>
      <c r="I83" s="50"/>
      <c r="K83" s="52">
        <v>45694</v>
      </c>
      <c r="L83" s="53">
        <v>2503483.5</v>
      </c>
      <c r="N83" s="49">
        <v>45701</v>
      </c>
      <c r="O83" s="50">
        <v>675</v>
      </c>
    </row>
    <row r="84" spans="1:15">
      <c r="A84" s="49">
        <v>45702</v>
      </c>
      <c r="B84" s="50">
        <v>1183.8800000000001</v>
      </c>
      <c r="C84" s="50"/>
      <c r="D84" s="49">
        <v>45705</v>
      </c>
      <c r="E84" s="50">
        <v>1210.0899999999999</v>
      </c>
      <c r="F84" s="50"/>
      <c r="G84" s="50"/>
      <c r="H84" s="50"/>
      <c r="I84" s="50"/>
      <c r="K84" s="52">
        <v>45693</v>
      </c>
      <c r="L84" s="53">
        <v>2477714</v>
      </c>
      <c r="N84" s="49">
        <v>45700</v>
      </c>
      <c r="O84" s="50">
        <v>673</v>
      </c>
    </row>
    <row r="85" spans="1:15">
      <c r="A85" s="49">
        <v>45701</v>
      </c>
      <c r="B85" s="50">
        <v>1187.8900000000001</v>
      </c>
      <c r="C85" s="50"/>
      <c r="D85" s="49">
        <v>45702</v>
      </c>
      <c r="E85" s="50">
        <v>1183.8800000000001</v>
      </c>
      <c r="F85" s="50"/>
      <c r="G85" s="50"/>
      <c r="H85" s="50"/>
      <c r="I85" s="50"/>
      <c r="K85" s="52">
        <v>45692</v>
      </c>
      <c r="L85" s="53">
        <v>2523647</v>
      </c>
      <c r="N85" s="49">
        <v>45699</v>
      </c>
      <c r="O85" s="50">
        <v>710</v>
      </c>
    </row>
    <row r="86" spans="1:15">
      <c r="A86" s="49">
        <v>45700</v>
      </c>
      <c r="B86" s="50">
        <v>1186.3499999999999</v>
      </c>
      <c r="C86" s="50"/>
      <c r="D86" s="49">
        <v>45701</v>
      </c>
      <c r="E86" s="50">
        <v>1187.8900000000001</v>
      </c>
      <c r="F86" s="50"/>
      <c r="G86" s="50"/>
      <c r="H86" s="50"/>
      <c r="I86" s="50"/>
      <c r="K86" s="52">
        <v>45691</v>
      </c>
      <c r="L86" s="53">
        <v>2484135.75</v>
      </c>
      <c r="N86" s="49">
        <v>45698</v>
      </c>
      <c r="O86" s="50">
        <v>677</v>
      </c>
    </row>
    <row r="87" spans="1:15">
      <c r="A87" s="49">
        <v>45699</v>
      </c>
      <c r="B87" s="50">
        <v>1180.8499999999999</v>
      </c>
      <c r="C87" s="50"/>
      <c r="D87" s="49">
        <v>45700</v>
      </c>
      <c r="E87" s="50">
        <v>1186.3499999999999</v>
      </c>
      <c r="F87" s="50"/>
      <c r="G87" s="50"/>
      <c r="H87" s="50"/>
      <c r="I87" s="50"/>
      <c r="K87" s="52">
        <v>45688</v>
      </c>
      <c r="L87" s="53">
        <v>2564659</v>
      </c>
      <c r="N87" s="49">
        <v>45695</v>
      </c>
      <c r="O87" s="50">
        <v>660</v>
      </c>
    </row>
    <row r="88" spans="1:15">
      <c r="A88" s="49">
        <v>45698</v>
      </c>
      <c r="B88" s="50">
        <v>1184.07</v>
      </c>
      <c r="C88" s="50"/>
      <c r="D88" s="49">
        <v>45699</v>
      </c>
      <c r="E88" s="50">
        <v>1180.8499999999999</v>
      </c>
      <c r="F88" s="50"/>
      <c r="G88" s="50"/>
      <c r="H88" s="50"/>
      <c r="I88" s="50"/>
      <c r="K88" s="52">
        <v>45687</v>
      </c>
      <c r="L88" s="53">
        <v>2599328.5</v>
      </c>
      <c r="N88" s="49">
        <v>45694</v>
      </c>
      <c r="O88" s="50">
        <v>659</v>
      </c>
    </row>
    <row r="89" spans="1:15">
      <c r="A89" s="49">
        <v>45695</v>
      </c>
      <c r="B89" s="50">
        <v>1194.47</v>
      </c>
      <c r="C89" s="50"/>
      <c r="D89" s="49">
        <v>45698</v>
      </c>
      <c r="E89" s="50">
        <v>1184.07</v>
      </c>
      <c r="F89" s="50"/>
      <c r="G89" s="50"/>
      <c r="H89" s="50"/>
      <c r="I89" s="50"/>
      <c r="K89" s="52">
        <v>45686</v>
      </c>
      <c r="L89" s="53">
        <v>2545355.5</v>
      </c>
      <c r="N89" s="49">
        <v>45693</v>
      </c>
      <c r="O89" s="50">
        <v>660</v>
      </c>
    </row>
    <row r="90" spans="1:15">
      <c r="A90" s="49">
        <v>45694</v>
      </c>
      <c r="B90" s="50">
        <v>1189.03</v>
      </c>
      <c r="C90" s="50"/>
      <c r="D90" s="49">
        <v>45695</v>
      </c>
      <c r="E90" s="50">
        <v>1194.47</v>
      </c>
      <c r="F90" s="50"/>
      <c r="G90" s="50"/>
      <c r="H90" s="50"/>
      <c r="I90" s="50"/>
      <c r="K90" s="52">
        <v>45685</v>
      </c>
      <c r="L90" s="53">
        <v>2435628.75</v>
      </c>
      <c r="N90" s="49">
        <v>45692</v>
      </c>
      <c r="O90" s="50">
        <v>640</v>
      </c>
    </row>
    <row r="91" spans="1:15">
      <c r="A91" s="49">
        <v>45693</v>
      </c>
      <c r="B91" s="50">
        <v>1191.94</v>
      </c>
      <c r="C91" s="50"/>
      <c r="D91" s="49">
        <v>45694</v>
      </c>
      <c r="E91" s="50">
        <v>1189.03</v>
      </c>
      <c r="F91" s="50"/>
      <c r="G91" s="50"/>
      <c r="H91" s="50"/>
      <c r="I91" s="50"/>
      <c r="K91" s="52">
        <v>45684</v>
      </c>
      <c r="L91" s="53">
        <v>2439098.75</v>
      </c>
      <c r="N91" s="49">
        <v>45691</v>
      </c>
      <c r="O91" s="50">
        <v>632</v>
      </c>
    </row>
    <row r="92" spans="1:15">
      <c r="A92" s="49">
        <v>45692</v>
      </c>
      <c r="B92" s="50">
        <v>1188</v>
      </c>
      <c r="C92" s="50"/>
      <c r="D92" s="49">
        <v>45693</v>
      </c>
      <c r="E92" s="50">
        <v>1191.94</v>
      </c>
      <c r="F92" s="50"/>
      <c r="G92" s="50"/>
      <c r="H92" s="50"/>
      <c r="I92" s="50"/>
      <c r="K92" s="52">
        <v>45681</v>
      </c>
      <c r="L92" s="53">
        <v>2566082.25</v>
      </c>
      <c r="N92" s="49">
        <v>45688</v>
      </c>
      <c r="O92" s="50">
        <v>618</v>
      </c>
    </row>
    <row r="93" spans="1:15">
      <c r="A93" s="49">
        <v>45691</v>
      </c>
      <c r="B93" s="50">
        <v>1178.82</v>
      </c>
      <c r="C93" s="50"/>
      <c r="D93" s="49">
        <v>45692</v>
      </c>
      <c r="E93" s="50">
        <v>1188</v>
      </c>
      <c r="F93" s="50"/>
      <c r="G93" s="50"/>
      <c r="H93" s="50"/>
      <c r="I93" s="50"/>
      <c r="K93" s="52">
        <v>45680</v>
      </c>
      <c r="L93" s="53">
        <v>2625050</v>
      </c>
      <c r="N93" s="49">
        <v>45687</v>
      </c>
      <c r="O93" s="50">
        <v>614</v>
      </c>
    </row>
    <row r="94" spans="1:15">
      <c r="A94" s="49">
        <v>45688</v>
      </c>
      <c r="B94" s="50">
        <v>1164.79</v>
      </c>
      <c r="C94" s="50"/>
      <c r="D94" s="49">
        <v>45691</v>
      </c>
      <c r="E94" s="50">
        <v>1178.82</v>
      </c>
      <c r="F94" s="50"/>
      <c r="G94" s="50"/>
      <c r="H94" s="50"/>
      <c r="I94" s="50"/>
      <c r="K94" s="52">
        <v>45679</v>
      </c>
      <c r="L94" s="53">
        <v>2680945.75</v>
      </c>
      <c r="N94" s="49">
        <v>45686</v>
      </c>
      <c r="O94" s="50">
        <v>611</v>
      </c>
    </row>
    <row r="95" spans="1:15">
      <c r="A95" s="49">
        <v>45687</v>
      </c>
      <c r="B95" s="50">
        <v>1164.8900000000001</v>
      </c>
      <c r="C95" s="50"/>
      <c r="D95" s="49">
        <v>45688</v>
      </c>
      <c r="E95" s="50">
        <v>1164.79</v>
      </c>
      <c r="F95" s="50"/>
      <c r="G95" s="50"/>
      <c r="H95" s="50"/>
      <c r="I95" s="50"/>
      <c r="K95" s="52">
        <v>45678</v>
      </c>
      <c r="L95" s="53">
        <v>2619719.25</v>
      </c>
      <c r="N95" s="49">
        <v>45685</v>
      </c>
      <c r="O95" s="50">
        <v>634</v>
      </c>
    </row>
    <row r="96" spans="1:15">
      <c r="A96" s="49">
        <v>45686</v>
      </c>
      <c r="B96" s="50">
        <v>1163.3599999999999</v>
      </c>
      <c r="C96" s="50"/>
      <c r="D96" s="49">
        <v>45687</v>
      </c>
      <c r="E96" s="50">
        <v>1164.8900000000001</v>
      </c>
      <c r="F96" s="50"/>
      <c r="G96" s="50"/>
      <c r="H96" s="50"/>
      <c r="I96" s="50"/>
      <c r="K96" s="52">
        <v>45677</v>
      </c>
      <c r="L96" s="53">
        <v>2536837.5</v>
      </c>
      <c r="N96" s="49">
        <v>45684</v>
      </c>
      <c r="O96" s="50">
        <v>642</v>
      </c>
    </row>
    <row r="97" spans="1:15">
      <c r="A97" s="49">
        <v>45685</v>
      </c>
      <c r="B97" s="50">
        <v>1161.3800000000001</v>
      </c>
      <c r="C97" s="50"/>
      <c r="D97" s="49">
        <v>45686</v>
      </c>
      <c r="E97" s="50">
        <v>1163.3599999999999</v>
      </c>
      <c r="F97" s="50"/>
      <c r="G97" s="50"/>
      <c r="H97" s="50"/>
      <c r="I97" s="50"/>
      <c r="K97" s="52">
        <v>45674</v>
      </c>
      <c r="L97" s="53">
        <v>2510886</v>
      </c>
      <c r="N97" s="49">
        <v>45681</v>
      </c>
      <c r="O97" s="50">
        <v>631</v>
      </c>
    </row>
    <row r="98" spans="1:15">
      <c r="A98" s="49">
        <v>45684</v>
      </c>
      <c r="B98" s="50">
        <v>1162.22</v>
      </c>
      <c r="C98" s="50"/>
      <c r="D98" s="49">
        <v>45685</v>
      </c>
      <c r="E98" s="50">
        <v>1161.3800000000001</v>
      </c>
      <c r="F98" s="50"/>
      <c r="G98" s="50"/>
      <c r="H98" s="50"/>
      <c r="I98" s="50"/>
      <c r="K98" s="52">
        <v>45673</v>
      </c>
      <c r="L98" s="53">
        <v>2629377</v>
      </c>
      <c r="N98" s="49">
        <v>45680</v>
      </c>
      <c r="O98" s="50">
        <v>646</v>
      </c>
    </row>
    <row r="99" spans="1:15">
      <c r="A99" s="49">
        <v>45681</v>
      </c>
      <c r="B99" s="50">
        <v>1155.75</v>
      </c>
      <c r="C99" s="50"/>
      <c r="D99" s="49">
        <v>45684</v>
      </c>
      <c r="E99" s="50">
        <v>1162.22</v>
      </c>
      <c r="F99" s="50"/>
      <c r="G99" s="50"/>
      <c r="H99" s="50"/>
      <c r="I99" s="50"/>
      <c r="K99" s="52">
        <v>45672</v>
      </c>
      <c r="L99" s="53">
        <v>2704473.75</v>
      </c>
      <c r="N99" s="49">
        <v>45679</v>
      </c>
      <c r="O99" s="50">
        <v>640</v>
      </c>
    </row>
    <row r="100" spans="1:15">
      <c r="A100" s="49">
        <v>45680</v>
      </c>
      <c r="B100" s="50">
        <v>1167.3499999999999</v>
      </c>
      <c r="C100" s="50"/>
      <c r="D100" s="49">
        <v>45681</v>
      </c>
      <c r="E100" s="50">
        <v>1155.75</v>
      </c>
      <c r="F100" s="50"/>
      <c r="G100" s="50"/>
      <c r="H100" s="50"/>
      <c r="I100" s="50"/>
      <c r="K100" s="52">
        <v>45671</v>
      </c>
      <c r="L100" s="53">
        <v>2733273.25</v>
      </c>
      <c r="N100" s="49">
        <v>45678</v>
      </c>
      <c r="O100" s="50">
        <v>638</v>
      </c>
    </row>
    <row r="101" spans="1:15">
      <c r="A101" s="49">
        <v>45679</v>
      </c>
      <c r="B101" s="50">
        <v>1172.67</v>
      </c>
      <c r="C101" s="50"/>
      <c r="D101" s="49">
        <v>45680</v>
      </c>
      <c r="E101" s="50">
        <v>1167.3499999999999</v>
      </c>
      <c r="F101" s="50"/>
      <c r="G101" s="50"/>
      <c r="H101" s="50"/>
      <c r="I101" s="50"/>
      <c r="K101" s="52">
        <v>45670</v>
      </c>
      <c r="L101" s="53">
        <v>2655178.5</v>
      </c>
      <c r="N101" s="49">
        <v>45677</v>
      </c>
      <c r="O101" s="50">
        <v>641</v>
      </c>
    </row>
    <row r="102" spans="1:15">
      <c r="A102" s="49">
        <v>45678</v>
      </c>
      <c r="B102" s="50">
        <v>1167.6099999999999</v>
      </c>
      <c r="C102" s="50"/>
      <c r="D102" s="49">
        <v>45679</v>
      </c>
      <c r="E102" s="50">
        <v>1172.67</v>
      </c>
      <c r="F102" s="50"/>
      <c r="G102" s="50"/>
      <c r="H102" s="50"/>
      <c r="I102" s="50"/>
      <c r="K102" s="52">
        <v>45667</v>
      </c>
      <c r="L102" s="53">
        <v>2805139.75</v>
      </c>
      <c r="N102" s="49">
        <v>45674</v>
      </c>
      <c r="O102" s="50">
        <v>644</v>
      </c>
    </row>
    <row r="103" spans="1:15">
      <c r="A103" s="49">
        <v>45677</v>
      </c>
      <c r="B103" s="50">
        <v>1165.9000000000001</v>
      </c>
      <c r="C103" s="50"/>
      <c r="D103" s="49">
        <v>45678</v>
      </c>
      <c r="E103" s="50">
        <v>1167.6099999999999</v>
      </c>
      <c r="F103" s="50"/>
      <c r="G103" s="50"/>
      <c r="H103" s="50"/>
      <c r="I103" s="50"/>
      <c r="K103" s="52">
        <v>45666</v>
      </c>
      <c r="L103" s="53">
        <v>2829730.5</v>
      </c>
      <c r="N103" s="49">
        <v>45673</v>
      </c>
      <c r="O103" s="50">
        <v>626</v>
      </c>
    </row>
    <row r="104" spans="1:15">
      <c r="A104" s="49">
        <v>45674</v>
      </c>
      <c r="B104" s="50">
        <v>1165.8399999999999</v>
      </c>
      <c r="C104" s="50"/>
      <c r="D104" s="49">
        <v>45677</v>
      </c>
      <c r="E104" s="50">
        <v>1165.9000000000001</v>
      </c>
      <c r="F104" s="50"/>
      <c r="G104" s="50"/>
      <c r="H104" s="50"/>
      <c r="I104" s="50"/>
      <c r="K104" s="52">
        <v>45665</v>
      </c>
      <c r="L104" s="53">
        <v>2782477</v>
      </c>
      <c r="N104" s="49">
        <v>45672</v>
      </c>
      <c r="O104" s="50">
        <v>597</v>
      </c>
    </row>
    <row r="105" spans="1:15">
      <c r="A105" s="49">
        <v>45673</v>
      </c>
      <c r="B105" s="50">
        <v>1166.03</v>
      </c>
      <c r="C105" s="50"/>
      <c r="D105" s="49">
        <v>45674</v>
      </c>
      <c r="E105" s="50">
        <v>1165.8399999999999</v>
      </c>
      <c r="F105" s="50"/>
      <c r="G105" s="50"/>
      <c r="H105" s="50"/>
      <c r="I105" s="50"/>
      <c r="K105" s="52">
        <v>45664</v>
      </c>
      <c r="L105" s="53">
        <v>2822174.5</v>
      </c>
      <c r="N105" s="49">
        <v>45671</v>
      </c>
      <c r="O105" s="50">
        <v>579</v>
      </c>
    </row>
    <row r="106" spans="1:15">
      <c r="A106" s="49">
        <v>45672</v>
      </c>
      <c r="B106" s="50">
        <v>1164.05</v>
      </c>
      <c r="C106" s="50"/>
      <c r="D106" s="49">
        <v>45673</v>
      </c>
      <c r="E106" s="50">
        <v>1166.03</v>
      </c>
      <c r="F106" s="50"/>
      <c r="G106" s="50"/>
      <c r="H106" s="50"/>
      <c r="I106" s="50"/>
      <c r="K106" s="52">
        <v>45663</v>
      </c>
      <c r="L106" s="53">
        <v>2801220.75</v>
      </c>
      <c r="N106" s="49">
        <v>45670</v>
      </c>
      <c r="O106" s="50">
        <v>589</v>
      </c>
    </row>
    <row r="107" spans="1:15">
      <c r="A107" s="49">
        <v>45671</v>
      </c>
      <c r="B107" s="50">
        <v>1162.93</v>
      </c>
      <c r="C107" s="50"/>
      <c r="D107" s="49">
        <v>45672</v>
      </c>
      <c r="E107" s="50">
        <v>1164.05</v>
      </c>
      <c r="F107" s="50"/>
      <c r="G107" s="50"/>
      <c r="H107" s="50"/>
      <c r="I107" s="50"/>
      <c r="K107" s="52">
        <v>45660</v>
      </c>
      <c r="L107" s="53">
        <v>2728911</v>
      </c>
      <c r="N107" s="49">
        <v>45667</v>
      </c>
      <c r="O107" s="50">
        <v>580</v>
      </c>
    </row>
    <row r="108" spans="1:15">
      <c r="A108" s="49">
        <v>45670</v>
      </c>
      <c r="B108" s="50">
        <v>1163.21</v>
      </c>
      <c r="C108" s="50"/>
      <c r="D108" s="49">
        <v>45671</v>
      </c>
      <c r="E108" s="50">
        <v>1162.93</v>
      </c>
      <c r="F108" s="50"/>
      <c r="G108" s="50"/>
      <c r="H108" s="50"/>
      <c r="I108" s="50"/>
      <c r="K108" s="52">
        <v>45659</v>
      </c>
      <c r="L108" s="53">
        <v>2695646.5</v>
      </c>
      <c r="N108" s="49">
        <v>45666</v>
      </c>
      <c r="O108" s="50">
        <v>560</v>
      </c>
    </row>
    <row r="109" spans="1:15">
      <c r="A109" s="49">
        <v>45667</v>
      </c>
      <c r="B109" s="50">
        <v>1164.01</v>
      </c>
      <c r="C109" s="50"/>
      <c r="D109" s="49">
        <v>45670</v>
      </c>
      <c r="E109" s="50">
        <v>1163.21</v>
      </c>
      <c r="F109" s="50"/>
      <c r="G109" s="50"/>
      <c r="H109" s="50"/>
      <c r="I109" s="50"/>
      <c r="K109" s="52">
        <v>45656</v>
      </c>
      <c r="L109" s="53">
        <v>2533634.75</v>
      </c>
      <c r="N109" s="49">
        <v>45665</v>
      </c>
      <c r="O109" s="50">
        <v>572</v>
      </c>
    </row>
    <row r="110" spans="1:15">
      <c r="A110" s="49">
        <v>45666</v>
      </c>
      <c r="B110" s="50">
        <v>1164.19</v>
      </c>
      <c r="C110" s="50"/>
      <c r="D110" s="49">
        <v>45667</v>
      </c>
      <c r="E110" s="50">
        <v>1164.01</v>
      </c>
      <c r="F110" s="50"/>
      <c r="G110" s="50"/>
      <c r="H110" s="50"/>
      <c r="I110" s="50"/>
      <c r="K110" s="52">
        <v>45653</v>
      </c>
      <c r="L110" s="53">
        <v>2577545.75</v>
      </c>
      <c r="N110" s="49">
        <v>45664</v>
      </c>
      <c r="O110" s="50">
        <v>561</v>
      </c>
    </row>
    <row r="111" spans="1:15">
      <c r="A111" s="49">
        <v>45665</v>
      </c>
      <c r="B111" s="50">
        <v>1164.72</v>
      </c>
      <c r="C111" s="50"/>
      <c r="D111" s="49">
        <v>45666</v>
      </c>
      <c r="E111" s="50">
        <v>1164.19</v>
      </c>
      <c r="F111" s="50"/>
      <c r="G111" s="50"/>
      <c r="H111" s="50"/>
      <c r="I111" s="50"/>
      <c r="K111" s="52">
        <v>45652</v>
      </c>
      <c r="L111" s="53">
        <v>2597388.5</v>
      </c>
      <c r="N111" s="49">
        <v>45663</v>
      </c>
      <c r="O111" s="50">
        <v>569</v>
      </c>
    </row>
    <row r="112" spans="1:15">
      <c r="A112" s="49">
        <v>45664</v>
      </c>
      <c r="B112" s="50">
        <v>1164.3699999999999</v>
      </c>
      <c r="C112" s="50"/>
      <c r="D112" s="49">
        <v>45665</v>
      </c>
      <c r="E112" s="50">
        <v>1164.72</v>
      </c>
      <c r="F112" s="50"/>
      <c r="G112" s="50"/>
      <c r="H112" s="50"/>
      <c r="I112" s="50"/>
      <c r="K112" s="52">
        <v>45650</v>
      </c>
      <c r="L112" s="53">
        <v>2551020.5</v>
      </c>
      <c r="N112" s="49">
        <v>45660</v>
      </c>
      <c r="O112" s="50">
        <v>610</v>
      </c>
    </row>
    <row r="113" spans="1:15">
      <c r="A113" s="49">
        <v>45663</v>
      </c>
      <c r="B113" s="50">
        <v>1165.0899999999999</v>
      </c>
      <c r="C113" s="50"/>
      <c r="D113" s="49">
        <v>45664</v>
      </c>
      <c r="E113" s="50">
        <v>1164.3699999999999</v>
      </c>
      <c r="F113" s="50"/>
      <c r="G113" s="50"/>
      <c r="H113" s="50"/>
      <c r="I113" s="50"/>
      <c r="K113" s="52">
        <v>45649</v>
      </c>
      <c r="L113" s="53">
        <v>2501153</v>
      </c>
      <c r="N113" s="49">
        <v>45659</v>
      </c>
      <c r="O113" s="50">
        <v>610</v>
      </c>
    </row>
    <row r="114" spans="1:15">
      <c r="A114" s="49">
        <v>45660</v>
      </c>
      <c r="B114" s="50">
        <v>1165.8800000000001</v>
      </c>
      <c r="C114" s="50"/>
      <c r="D114" s="49">
        <v>45663</v>
      </c>
      <c r="E114" s="50">
        <v>1165.0899999999999</v>
      </c>
      <c r="F114" s="50"/>
      <c r="G114" s="50"/>
      <c r="H114" s="50"/>
      <c r="I114" s="50"/>
      <c r="K114" s="52">
        <v>45646</v>
      </c>
      <c r="L114" s="53">
        <v>2467562</v>
      </c>
      <c r="N114" s="49">
        <v>45658</v>
      </c>
      <c r="O114" s="50">
        <v>635</v>
      </c>
    </row>
    <row r="115" spans="1:15">
      <c r="A115" s="49">
        <v>45659</v>
      </c>
      <c r="B115" s="50">
        <v>1162.1199999999999</v>
      </c>
      <c r="C115" s="50"/>
      <c r="D115" s="49">
        <v>45660</v>
      </c>
      <c r="E115" s="50">
        <v>1165.8800000000001</v>
      </c>
      <c r="F115" s="50"/>
      <c r="G115" s="50"/>
      <c r="H115" s="50"/>
      <c r="I115" s="50"/>
      <c r="K115" s="52">
        <v>45645</v>
      </c>
      <c r="L115" s="53">
        <v>2419894.25</v>
      </c>
      <c r="N115" s="49">
        <v>45657</v>
      </c>
      <c r="O115" s="50">
        <v>635</v>
      </c>
    </row>
    <row r="116" spans="1:15">
      <c r="A116" s="49">
        <v>45658</v>
      </c>
      <c r="B116" s="50">
        <v>1170.4100000000001</v>
      </c>
      <c r="C116" s="50"/>
      <c r="D116" s="49">
        <v>45659</v>
      </c>
      <c r="E116" s="50">
        <v>1162.1199999999999</v>
      </c>
      <c r="F116" s="50"/>
      <c r="G116" s="50"/>
      <c r="H116" s="50"/>
      <c r="I116" s="50"/>
      <c r="K116" s="52">
        <v>45644</v>
      </c>
      <c r="L116" s="53">
        <v>2521016.5</v>
      </c>
      <c r="N116" s="49">
        <v>45656</v>
      </c>
      <c r="O116" s="50">
        <v>635</v>
      </c>
    </row>
    <row r="117" spans="1:15">
      <c r="A117" s="49">
        <v>45657</v>
      </c>
      <c r="B117" s="50">
        <v>1170.4100000000001</v>
      </c>
      <c r="C117" s="50"/>
      <c r="D117" s="49">
        <v>45658</v>
      </c>
      <c r="E117" s="50">
        <v>1170.4100000000001</v>
      </c>
      <c r="F117" s="50"/>
      <c r="G117" s="50"/>
      <c r="H117" s="50"/>
      <c r="I117" s="50"/>
      <c r="K117" s="52">
        <v>45643</v>
      </c>
      <c r="L117" s="53">
        <v>2592200.5</v>
      </c>
      <c r="N117" s="49">
        <v>45653</v>
      </c>
      <c r="O117" s="50">
        <v>627</v>
      </c>
    </row>
    <row r="118" spans="1:15">
      <c r="A118" s="49">
        <v>45656</v>
      </c>
      <c r="B118" s="50">
        <v>1170.4100000000001</v>
      </c>
      <c r="C118" s="50"/>
      <c r="D118" s="49">
        <v>45657</v>
      </c>
      <c r="E118" s="50">
        <v>1170.4100000000001</v>
      </c>
      <c r="F118" s="50"/>
      <c r="G118" s="50"/>
      <c r="H118" s="50"/>
      <c r="I118" s="50"/>
      <c r="K118" s="52">
        <v>45642</v>
      </c>
      <c r="L118" s="53">
        <v>2543202</v>
      </c>
      <c r="N118" s="49">
        <v>45652</v>
      </c>
      <c r="O118" s="50">
        <v>631</v>
      </c>
    </row>
    <row r="119" spans="1:15">
      <c r="A119" s="49">
        <v>45653</v>
      </c>
      <c r="B119" s="50">
        <v>1170.56</v>
      </c>
      <c r="C119" s="50"/>
      <c r="D119" s="49">
        <v>45656</v>
      </c>
      <c r="E119" s="50">
        <v>1170.4100000000001</v>
      </c>
      <c r="F119" s="50"/>
      <c r="G119" s="50"/>
      <c r="H119" s="50"/>
      <c r="I119" s="50"/>
      <c r="K119" s="52">
        <v>45639</v>
      </c>
      <c r="L119" s="53">
        <v>2370661.75</v>
      </c>
      <c r="N119" s="49">
        <v>45651</v>
      </c>
      <c r="O119" s="50">
        <v>650</v>
      </c>
    </row>
    <row r="120" spans="1:15">
      <c r="A120" s="49">
        <v>45652</v>
      </c>
      <c r="B120" s="50">
        <v>1170.8900000000001</v>
      </c>
      <c r="C120" s="50"/>
      <c r="D120" s="49">
        <v>45653</v>
      </c>
      <c r="E120" s="50">
        <v>1170.56</v>
      </c>
      <c r="F120" s="50"/>
      <c r="G120" s="50"/>
      <c r="H120" s="50"/>
      <c r="I120" s="50"/>
      <c r="K120" s="52">
        <v>45638</v>
      </c>
      <c r="L120" s="53">
        <v>2304089.5</v>
      </c>
      <c r="N120" s="49">
        <v>45650</v>
      </c>
      <c r="O120" s="50">
        <v>649</v>
      </c>
    </row>
    <row r="121" spans="1:15">
      <c r="A121" s="49">
        <v>45651</v>
      </c>
      <c r="B121" s="50">
        <v>1160.97</v>
      </c>
      <c r="C121" s="50"/>
      <c r="D121" s="49">
        <v>45652</v>
      </c>
      <c r="E121" s="50">
        <v>1170.8900000000001</v>
      </c>
      <c r="F121" s="50"/>
      <c r="G121" s="50"/>
      <c r="H121" s="50"/>
      <c r="I121" s="50"/>
      <c r="K121" s="52">
        <v>45637</v>
      </c>
      <c r="L121" s="53">
        <v>2291149.25</v>
      </c>
      <c r="N121" s="49">
        <v>45649</v>
      </c>
      <c r="O121" s="50">
        <v>649</v>
      </c>
    </row>
    <row r="122" spans="1:15">
      <c r="A122" s="49">
        <v>45650</v>
      </c>
      <c r="B122" s="50">
        <v>1160.97</v>
      </c>
      <c r="C122" s="50"/>
      <c r="D122" s="49">
        <v>45651</v>
      </c>
      <c r="E122" s="50">
        <v>1160.97</v>
      </c>
      <c r="F122" s="50"/>
      <c r="G122" s="50"/>
      <c r="H122" s="50"/>
      <c r="I122" s="50"/>
      <c r="K122" s="52">
        <v>45636</v>
      </c>
      <c r="L122" s="53">
        <v>2201245.75</v>
      </c>
      <c r="N122" s="49">
        <v>45646</v>
      </c>
      <c r="O122" s="50">
        <v>671</v>
      </c>
    </row>
    <row r="123" spans="1:15">
      <c r="A123" s="49">
        <v>45649</v>
      </c>
      <c r="B123" s="50">
        <v>1162.3</v>
      </c>
      <c r="C123" s="50"/>
      <c r="D123" s="49">
        <v>45650</v>
      </c>
      <c r="E123" s="50">
        <v>1160.97</v>
      </c>
      <c r="F123" s="50"/>
      <c r="G123" s="50"/>
      <c r="H123" s="50"/>
      <c r="I123" s="50"/>
      <c r="K123" s="52">
        <v>45635</v>
      </c>
      <c r="L123" s="53">
        <v>2228858.75</v>
      </c>
      <c r="N123" s="49">
        <v>45645</v>
      </c>
      <c r="O123" s="50">
        <v>663</v>
      </c>
    </row>
    <row r="124" spans="1:15">
      <c r="A124" s="49">
        <v>45646</v>
      </c>
      <c r="B124" s="50">
        <v>1142.2</v>
      </c>
      <c r="C124" s="50"/>
      <c r="D124" s="49">
        <v>45649</v>
      </c>
      <c r="E124" s="50">
        <v>1162.3</v>
      </c>
      <c r="F124" s="50"/>
      <c r="G124" s="50"/>
      <c r="H124" s="50"/>
      <c r="I124" s="50"/>
      <c r="K124" s="52">
        <v>45632</v>
      </c>
      <c r="L124" s="53">
        <v>2202444.25</v>
      </c>
      <c r="N124" s="49">
        <v>45644</v>
      </c>
      <c r="O124" s="50">
        <v>658</v>
      </c>
    </row>
    <row r="125" spans="1:15">
      <c r="A125" s="49">
        <v>45645</v>
      </c>
      <c r="B125" s="50">
        <v>1131.19</v>
      </c>
      <c r="C125" s="50"/>
      <c r="D125" s="49">
        <v>45646</v>
      </c>
      <c r="E125" s="50">
        <v>1142.2</v>
      </c>
      <c r="F125" s="50"/>
      <c r="G125" s="50"/>
      <c r="H125" s="50"/>
      <c r="I125" s="50"/>
      <c r="K125" s="52">
        <v>45631</v>
      </c>
      <c r="L125" s="53">
        <v>2211583</v>
      </c>
      <c r="N125" s="49">
        <v>45643</v>
      </c>
      <c r="O125" s="50">
        <v>673</v>
      </c>
    </row>
    <row r="126" spans="1:15">
      <c r="A126" s="49">
        <v>45644</v>
      </c>
      <c r="B126" s="50">
        <v>1131.22</v>
      </c>
      <c r="C126" s="50"/>
      <c r="D126" s="49">
        <v>45645</v>
      </c>
      <c r="E126" s="50">
        <v>1131.19</v>
      </c>
      <c r="F126" s="50"/>
      <c r="G126" s="50"/>
      <c r="H126" s="50"/>
      <c r="I126" s="50"/>
      <c r="K126" s="52">
        <v>45630</v>
      </c>
      <c r="L126" s="53">
        <v>2216277.75</v>
      </c>
      <c r="N126" s="49">
        <v>45642</v>
      </c>
      <c r="O126" s="50">
        <v>677</v>
      </c>
    </row>
    <row r="127" spans="1:15">
      <c r="A127" s="49">
        <v>45643</v>
      </c>
      <c r="B127" s="50">
        <v>1145.26</v>
      </c>
      <c r="C127" s="50"/>
      <c r="D127" s="49">
        <v>45644</v>
      </c>
      <c r="E127" s="50">
        <v>1131.22</v>
      </c>
      <c r="F127" s="50"/>
      <c r="G127" s="50"/>
      <c r="H127" s="50"/>
      <c r="I127" s="50"/>
      <c r="K127" s="52">
        <v>45629</v>
      </c>
      <c r="L127" s="53">
        <v>2303990</v>
      </c>
      <c r="N127" s="49">
        <v>45639</v>
      </c>
      <c r="O127" s="50">
        <v>708</v>
      </c>
    </row>
    <row r="128" spans="1:15">
      <c r="A128" s="49">
        <v>45642</v>
      </c>
      <c r="B128" s="50">
        <v>1100.27</v>
      </c>
      <c r="C128" s="50"/>
      <c r="D128" s="49">
        <v>45643</v>
      </c>
      <c r="E128" s="50">
        <v>1145.26</v>
      </c>
      <c r="F128" s="50"/>
      <c r="G128" s="50"/>
      <c r="H128" s="50"/>
      <c r="I128" s="50"/>
      <c r="K128" s="52">
        <v>45628</v>
      </c>
      <c r="L128" s="53">
        <v>2295431.5</v>
      </c>
      <c r="N128" s="49">
        <v>45638</v>
      </c>
      <c r="O128" s="50">
        <v>715</v>
      </c>
    </row>
    <row r="129" spans="1:15">
      <c r="A129" s="49">
        <v>45639</v>
      </c>
      <c r="B129" s="50">
        <v>1073.08</v>
      </c>
      <c r="C129" s="50"/>
      <c r="D129" s="49">
        <v>45642</v>
      </c>
      <c r="E129" s="50">
        <v>1100.27</v>
      </c>
      <c r="F129" s="50"/>
      <c r="G129" s="50"/>
      <c r="H129" s="50"/>
      <c r="I129" s="50"/>
      <c r="K129" s="52">
        <v>45625</v>
      </c>
      <c r="L129" s="53">
        <v>2258295</v>
      </c>
      <c r="N129" s="49">
        <v>45637</v>
      </c>
      <c r="O129" s="50">
        <v>719</v>
      </c>
    </row>
    <row r="130" spans="1:15">
      <c r="A130" s="49">
        <v>45638</v>
      </c>
      <c r="B130" s="50">
        <v>1058.21</v>
      </c>
      <c r="C130" s="50"/>
      <c r="D130" s="49">
        <v>45639</v>
      </c>
      <c r="E130" s="50">
        <v>1073.08</v>
      </c>
      <c r="F130" s="50"/>
      <c r="G130" s="50"/>
      <c r="H130" s="50"/>
      <c r="I130" s="50"/>
      <c r="K130" s="52">
        <v>45624</v>
      </c>
      <c r="L130" s="53">
        <v>2230803.25</v>
      </c>
      <c r="N130" s="49">
        <v>45636</v>
      </c>
      <c r="O130" s="50">
        <v>735</v>
      </c>
    </row>
    <row r="131" spans="1:15">
      <c r="A131" s="49">
        <v>45637</v>
      </c>
      <c r="B131" s="50">
        <v>1057.72</v>
      </c>
      <c r="C131" s="50"/>
      <c r="D131" s="49">
        <v>45638</v>
      </c>
      <c r="E131" s="50">
        <v>1058.21</v>
      </c>
      <c r="F131" s="50"/>
      <c r="G131" s="50"/>
      <c r="H131" s="50"/>
      <c r="I131" s="50"/>
      <c r="K131" s="52">
        <v>45623</v>
      </c>
      <c r="L131" s="53">
        <v>2205245</v>
      </c>
      <c r="N131" s="49">
        <v>45635</v>
      </c>
      <c r="O131" s="50">
        <v>737</v>
      </c>
    </row>
    <row r="132" spans="1:15">
      <c r="A132" s="49">
        <v>45636</v>
      </c>
      <c r="B132" s="50">
        <v>1060.52</v>
      </c>
      <c r="C132" s="50"/>
      <c r="D132" s="49">
        <v>45637</v>
      </c>
      <c r="E132" s="50">
        <v>1057.72</v>
      </c>
      <c r="F132" s="50"/>
      <c r="G132" s="50"/>
      <c r="H132" s="50"/>
      <c r="I132" s="50"/>
      <c r="K132" s="52">
        <v>45622</v>
      </c>
      <c r="L132" s="53">
        <v>2252266.25</v>
      </c>
      <c r="N132" s="49">
        <v>45632</v>
      </c>
      <c r="O132" s="50">
        <v>769</v>
      </c>
    </row>
    <row r="133" spans="1:15">
      <c r="A133" s="49">
        <v>45635</v>
      </c>
      <c r="B133" s="50">
        <v>1049.31</v>
      </c>
      <c r="C133" s="50"/>
      <c r="D133" s="49">
        <v>45636</v>
      </c>
      <c r="E133" s="50">
        <v>1060.52</v>
      </c>
      <c r="F133" s="50"/>
      <c r="G133" s="50"/>
      <c r="H133" s="50"/>
      <c r="I133" s="50"/>
      <c r="K133" s="52">
        <v>45621</v>
      </c>
      <c r="L133" s="53">
        <v>2218551</v>
      </c>
      <c r="N133" s="49">
        <v>45631</v>
      </c>
      <c r="O133" s="50">
        <v>760</v>
      </c>
    </row>
    <row r="134" spans="1:15">
      <c r="A134" s="49">
        <v>45632</v>
      </c>
      <c r="B134" s="50">
        <v>1049.33</v>
      </c>
      <c r="C134" s="50"/>
      <c r="D134" s="49">
        <v>45635</v>
      </c>
      <c r="E134" s="50">
        <v>1049.31</v>
      </c>
      <c r="F134" s="50"/>
      <c r="G134" s="50"/>
      <c r="H134" s="50"/>
      <c r="I134" s="50"/>
      <c r="K134" s="52">
        <v>45618</v>
      </c>
      <c r="L134" s="53">
        <v>2211988</v>
      </c>
      <c r="N134" s="49">
        <v>45630</v>
      </c>
      <c r="O134" s="50">
        <v>751</v>
      </c>
    </row>
    <row r="135" spans="1:15">
      <c r="A135" s="49">
        <v>45631</v>
      </c>
      <c r="B135" s="50">
        <v>1062.1600000000001</v>
      </c>
      <c r="C135" s="50"/>
      <c r="D135" s="49">
        <v>45632</v>
      </c>
      <c r="E135" s="50">
        <v>1049.33</v>
      </c>
      <c r="F135" s="50"/>
      <c r="G135" s="50"/>
      <c r="H135" s="50"/>
      <c r="I135" s="50"/>
      <c r="K135" s="52">
        <v>45617</v>
      </c>
      <c r="L135" s="53">
        <v>2140096.25</v>
      </c>
      <c r="N135" s="49">
        <v>45629</v>
      </c>
      <c r="O135" s="50">
        <v>754</v>
      </c>
    </row>
    <row r="136" spans="1:15">
      <c r="A136" s="49">
        <v>45630</v>
      </c>
      <c r="B136" s="50">
        <v>1076.3399999999999</v>
      </c>
      <c r="C136" s="50"/>
      <c r="D136" s="49">
        <v>45631</v>
      </c>
      <c r="E136" s="50">
        <v>1062.1600000000001</v>
      </c>
      <c r="F136" s="50"/>
      <c r="G136" s="50"/>
      <c r="H136" s="50"/>
      <c r="I136" s="50"/>
      <c r="K136" s="52">
        <v>45616</v>
      </c>
      <c r="L136" s="53">
        <v>2145971.75</v>
      </c>
      <c r="N136" s="49">
        <v>45628</v>
      </c>
      <c r="O136" s="50">
        <v>749</v>
      </c>
    </row>
    <row r="137" spans="1:15">
      <c r="A137" s="49">
        <v>45629</v>
      </c>
      <c r="B137" s="50">
        <v>1075.6500000000001</v>
      </c>
      <c r="C137" s="50"/>
      <c r="D137" s="49">
        <v>45630</v>
      </c>
      <c r="E137" s="50">
        <v>1076.3399999999999</v>
      </c>
      <c r="F137" s="50"/>
      <c r="G137" s="50"/>
      <c r="H137" s="50"/>
      <c r="I137" s="50"/>
      <c r="K137" s="52">
        <v>45615</v>
      </c>
      <c r="L137" s="53">
        <v>2124412.5</v>
      </c>
      <c r="N137" s="49">
        <v>45625</v>
      </c>
      <c r="O137" s="50">
        <v>752</v>
      </c>
    </row>
    <row r="138" spans="1:15">
      <c r="A138" s="49">
        <v>45628</v>
      </c>
      <c r="B138" s="50">
        <v>1068.8900000000001</v>
      </c>
      <c r="C138" s="50"/>
      <c r="D138" s="49">
        <v>45629</v>
      </c>
      <c r="E138" s="50">
        <v>1075.6500000000001</v>
      </c>
      <c r="F138" s="50"/>
      <c r="G138" s="50"/>
      <c r="H138" s="50"/>
      <c r="I138" s="50"/>
      <c r="K138" s="52">
        <v>45611</v>
      </c>
      <c r="L138" s="53">
        <v>2066915.25</v>
      </c>
      <c r="N138" s="49">
        <v>45624</v>
      </c>
      <c r="O138" s="50">
        <v>752</v>
      </c>
    </row>
    <row r="139" spans="1:15">
      <c r="A139" s="49">
        <v>45625</v>
      </c>
      <c r="B139" s="50">
        <v>1075.76</v>
      </c>
      <c r="C139" s="50"/>
      <c r="D139" s="49">
        <v>45628</v>
      </c>
      <c r="E139" s="50">
        <v>1068.8900000000001</v>
      </c>
      <c r="F139" s="50"/>
      <c r="G139" s="50"/>
      <c r="H139" s="50"/>
      <c r="I139" s="50"/>
      <c r="K139" s="52">
        <v>45610</v>
      </c>
      <c r="L139" s="53">
        <v>2087646.63</v>
      </c>
      <c r="N139" s="49">
        <v>45623</v>
      </c>
      <c r="O139" s="50">
        <v>755</v>
      </c>
    </row>
    <row r="140" spans="1:15">
      <c r="A140" s="49">
        <v>45624</v>
      </c>
      <c r="B140" s="50">
        <v>1075.1500000000001</v>
      </c>
      <c r="C140" s="50"/>
      <c r="D140" s="49">
        <v>45625</v>
      </c>
      <c r="E140" s="50">
        <v>1075.76</v>
      </c>
      <c r="F140" s="50"/>
      <c r="G140" s="50"/>
      <c r="H140" s="50"/>
      <c r="I140" s="50"/>
      <c r="K140" s="52">
        <v>45609</v>
      </c>
      <c r="L140" s="53">
        <v>2042551</v>
      </c>
      <c r="N140" s="49">
        <v>45622</v>
      </c>
      <c r="O140" s="50">
        <v>751</v>
      </c>
    </row>
    <row r="141" spans="1:15">
      <c r="A141" s="49">
        <v>45623</v>
      </c>
      <c r="B141" s="50">
        <v>1074.6099999999999</v>
      </c>
      <c r="C141" s="50"/>
      <c r="D141" s="49">
        <v>45624</v>
      </c>
      <c r="E141" s="50">
        <v>1075.1500000000001</v>
      </c>
      <c r="F141" s="50"/>
      <c r="G141" s="50"/>
      <c r="H141" s="50"/>
      <c r="I141" s="50"/>
      <c r="K141" s="52">
        <v>45608</v>
      </c>
      <c r="L141" s="53">
        <v>2012040.88</v>
      </c>
      <c r="N141" s="49">
        <v>45621</v>
      </c>
      <c r="O141" s="50">
        <v>748</v>
      </c>
    </row>
    <row r="142" spans="1:15">
      <c r="A142" s="49">
        <v>45622</v>
      </c>
      <c r="B142" s="50">
        <v>1076.1199999999999</v>
      </c>
      <c r="C142" s="50"/>
      <c r="D142" s="49">
        <v>45623</v>
      </c>
      <c r="E142" s="50">
        <v>1074.6099999999999</v>
      </c>
      <c r="F142" s="50"/>
      <c r="G142" s="50"/>
      <c r="H142" s="50"/>
      <c r="I142" s="50"/>
      <c r="K142" s="52">
        <v>45607</v>
      </c>
      <c r="L142" s="53">
        <v>1987845.88</v>
      </c>
      <c r="N142" s="49">
        <v>45618</v>
      </c>
      <c r="O142" s="50">
        <v>745</v>
      </c>
    </row>
    <row r="143" spans="1:15">
      <c r="A143" s="49">
        <v>45621</v>
      </c>
      <c r="B143" s="50">
        <v>1077.58</v>
      </c>
      <c r="C143" s="50"/>
      <c r="D143" s="49">
        <v>45622</v>
      </c>
      <c r="E143" s="50">
        <v>1076.1199999999999</v>
      </c>
      <c r="F143" s="50"/>
      <c r="G143" s="50"/>
      <c r="H143" s="50"/>
      <c r="I143" s="50"/>
      <c r="K143" s="52">
        <v>45604</v>
      </c>
      <c r="L143" s="53">
        <v>1964487.25</v>
      </c>
      <c r="N143" s="49">
        <v>45617</v>
      </c>
      <c r="O143" s="50">
        <v>734</v>
      </c>
    </row>
    <row r="144" spans="1:15">
      <c r="A144" s="49">
        <v>45618</v>
      </c>
      <c r="B144" s="50">
        <v>1080.4000000000001</v>
      </c>
      <c r="C144" s="50"/>
      <c r="D144" s="49">
        <v>45621</v>
      </c>
      <c r="E144" s="50">
        <v>1077.58</v>
      </c>
      <c r="F144" s="50"/>
      <c r="G144" s="50"/>
      <c r="H144" s="50"/>
      <c r="I144" s="50"/>
      <c r="K144" s="52">
        <v>45603</v>
      </c>
      <c r="L144" s="53">
        <v>2015557.75</v>
      </c>
      <c r="N144" s="49">
        <v>45616</v>
      </c>
      <c r="O144" s="50">
        <v>720</v>
      </c>
    </row>
    <row r="145" spans="1:15">
      <c r="A145" s="49">
        <v>45617</v>
      </c>
      <c r="B145" s="50">
        <v>1078.95</v>
      </c>
      <c r="C145" s="50"/>
      <c r="D145" s="49">
        <v>45618</v>
      </c>
      <c r="E145" s="50">
        <v>1080.4000000000001</v>
      </c>
      <c r="F145" s="50"/>
      <c r="G145" s="50"/>
      <c r="H145" s="50"/>
      <c r="I145" s="50"/>
      <c r="K145" s="52">
        <v>45602</v>
      </c>
      <c r="L145" s="53">
        <v>1976613</v>
      </c>
      <c r="N145" s="49">
        <v>45615</v>
      </c>
      <c r="O145" s="50">
        <v>746</v>
      </c>
    </row>
    <row r="146" spans="1:15">
      <c r="A146" s="49">
        <v>45616</v>
      </c>
      <c r="B146" s="50">
        <v>1074.8599999999999</v>
      </c>
      <c r="C146" s="50"/>
      <c r="D146" s="49">
        <v>45617</v>
      </c>
      <c r="E146" s="50">
        <v>1078.95</v>
      </c>
      <c r="F146" s="50"/>
      <c r="G146" s="50"/>
      <c r="H146" s="50"/>
      <c r="I146" s="50"/>
      <c r="K146" s="52">
        <v>45601</v>
      </c>
      <c r="L146" s="53">
        <v>1931281.13</v>
      </c>
      <c r="N146" s="49">
        <v>45614</v>
      </c>
      <c r="O146" s="50">
        <v>769</v>
      </c>
    </row>
    <row r="147" spans="1:15">
      <c r="A147" s="49">
        <v>45615</v>
      </c>
      <c r="B147" s="50">
        <v>1075.1199999999999</v>
      </c>
      <c r="C147" s="50"/>
      <c r="D147" s="49">
        <v>45616</v>
      </c>
      <c r="E147" s="50">
        <v>1074.8599999999999</v>
      </c>
      <c r="F147" s="50"/>
      <c r="G147" s="50"/>
      <c r="H147" s="50"/>
      <c r="I147" s="50"/>
      <c r="K147" s="52">
        <v>45600</v>
      </c>
      <c r="L147" s="53">
        <v>1919066</v>
      </c>
      <c r="N147" s="49">
        <v>45611</v>
      </c>
      <c r="O147" s="50">
        <v>769</v>
      </c>
    </row>
    <row r="148" spans="1:15">
      <c r="A148" s="49">
        <v>45614</v>
      </c>
      <c r="B148" s="50">
        <v>1096.02</v>
      </c>
      <c r="C148" s="50"/>
      <c r="D148" s="49">
        <v>45615</v>
      </c>
      <c r="E148" s="50">
        <v>1075.1199999999999</v>
      </c>
      <c r="F148" s="50"/>
      <c r="G148" s="50"/>
      <c r="H148" s="50"/>
      <c r="I148" s="50"/>
      <c r="K148" s="52">
        <v>45597</v>
      </c>
      <c r="L148" s="53">
        <v>1879878.63</v>
      </c>
      <c r="N148" s="49">
        <v>45610</v>
      </c>
      <c r="O148" s="50">
        <v>772</v>
      </c>
    </row>
    <row r="149" spans="1:15">
      <c r="A149" s="49">
        <v>45611</v>
      </c>
      <c r="B149" s="50">
        <v>1096.02</v>
      </c>
      <c r="C149" s="50"/>
      <c r="D149" s="49">
        <v>45614</v>
      </c>
      <c r="E149" s="50">
        <v>1096.02</v>
      </c>
      <c r="F149" s="50"/>
      <c r="G149" s="50"/>
      <c r="H149" s="50"/>
      <c r="I149" s="50"/>
      <c r="K149" s="52">
        <v>45596</v>
      </c>
      <c r="L149" s="53">
        <v>1848744.25</v>
      </c>
      <c r="N149" s="49">
        <v>45609</v>
      </c>
      <c r="O149" s="50">
        <v>800</v>
      </c>
    </row>
    <row r="150" spans="1:15">
      <c r="A150" s="49">
        <v>45610</v>
      </c>
      <c r="B150" s="50">
        <v>1105.75</v>
      </c>
      <c r="C150" s="50"/>
      <c r="D150" s="49">
        <v>45611</v>
      </c>
      <c r="E150" s="50">
        <v>1096.02</v>
      </c>
      <c r="F150" s="50"/>
      <c r="G150" s="50"/>
      <c r="H150" s="50"/>
      <c r="I150" s="50"/>
      <c r="K150" s="52">
        <v>45595</v>
      </c>
      <c r="L150" s="53">
        <v>1837535.25</v>
      </c>
      <c r="N150" s="49">
        <v>45608</v>
      </c>
      <c r="O150" s="50">
        <v>819</v>
      </c>
    </row>
    <row r="151" spans="1:15">
      <c r="A151" s="49">
        <v>45609</v>
      </c>
      <c r="B151" s="50">
        <v>1121.1099999999999</v>
      </c>
      <c r="C151" s="50"/>
      <c r="D151" s="49">
        <v>45610</v>
      </c>
      <c r="E151" s="50">
        <v>1105.75</v>
      </c>
      <c r="F151" s="50"/>
      <c r="G151" s="50"/>
      <c r="H151" s="50"/>
      <c r="I151" s="50"/>
      <c r="K151" s="52">
        <v>45594</v>
      </c>
      <c r="L151" s="53">
        <v>1845639.25</v>
      </c>
      <c r="N151" s="49">
        <v>45607</v>
      </c>
      <c r="O151" s="50">
        <v>850</v>
      </c>
    </row>
    <row r="152" spans="1:15">
      <c r="A152" s="49">
        <v>45608</v>
      </c>
      <c r="B152" s="50">
        <v>1124.4000000000001</v>
      </c>
      <c r="C152" s="50"/>
      <c r="D152" s="49">
        <v>45609</v>
      </c>
      <c r="E152" s="50">
        <v>1121.1099999999999</v>
      </c>
      <c r="F152" s="50"/>
      <c r="G152" s="50"/>
      <c r="H152" s="50"/>
      <c r="I152" s="50"/>
      <c r="K152" s="52">
        <v>45593</v>
      </c>
      <c r="L152" s="53">
        <v>1851913.75</v>
      </c>
      <c r="N152" s="49">
        <v>45604</v>
      </c>
      <c r="O152" s="50">
        <v>850</v>
      </c>
    </row>
    <row r="153" spans="1:15">
      <c r="A153" s="49">
        <v>45607</v>
      </c>
      <c r="B153" s="50">
        <v>1131.23</v>
      </c>
      <c r="C153" s="50"/>
      <c r="D153" s="49">
        <v>45608</v>
      </c>
      <c r="E153" s="50">
        <v>1124.4000000000001</v>
      </c>
      <c r="F153" s="50"/>
      <c r="G153" s="50"/>
      <c r="H153" s="50"/>
      <c r="I153" s="50"/>
      <c r="K153" s="52">
        <v>45590</v>
      </c>
      <c r="L153" s="53">
        <v>1872784.63</v>
      </c>
      <c r="N153" s="49">
        <v>45603</v>
      </c>
      <c r="O153" s="50">
        <v>859</v>
      </c>
    </row>
    <row r="154" spans="1:15">
      <c r="A154" s="49">
        <v>45604</v>
      </c>
      <c r="B154" s="50">
        <v>1130.2</v>
      </c>
      <c r="C154" s="50"/>
      <c r="D154" s="49">
        <v>45607</v>
      </c>
      <c r="E154" s="50">
        <v>1131.23</v>
      </c>
      <c r="F154" s="50"/>
      <c r="G154" s="50"/>
      <c r="H154" s="50"/>
      <c r="I154" s="50"/>
      <c r="K154" s="52">
        <v>45589</v>
      </c>
      <c r="L154" s="53">
        <v>1849994.75</v>
      </c>
      <c r="N154" s="49">
        <v>45602</v>
      </c>
      <c r="O154" s="50">
        <v>870</v>
      </c>
    </row>
    <row r="155" spans="1:15">
      <c r="A155" s="49">
        <v>45603</v>
      </c>
      <c r="B155" s="50">
        <v>1135.99</v>
      </c>
      <c r="C155" s="50"/>
      <c r="D155" s="49">
        <v>45604</v>
      </c>
      <c r="E155" s="50">
        <v>1130.2</v>
      </c>
      <c r="F155" s="50"/>
      <c r="G155" s="50"/>
      <c r="H155" s="50"/>
      <c r="I155" s="50"/>
      <c r="K155" s="52">
        <v>45588</v>
      </c>
      <c r="L155" s="53">
        <v>1774318.63</v>
      </c>
      <c r="N155" s="49">
        <v>45601</v>
      </c>
      <c r="O155" s="50">
        <v>933</v>
      </c>
    </row>
    <row r="156" spans="1:15">
      <c r="A156" s="49">
        <v>45602</v>
      </c>
      <c r="B156" s="50">
        <v>1145.69</v>
      </c>
      <c r="C156" s="50"/>
      <c r="D156" s="49">
        <v>45603</v>
      </c>
      <c r="E156" s="50">
        <v>1135.99</v>
      </c>
      <c r="F156" s="50"/>
      <c r="G156" s="50"/>
      <c r="H156" s="50"/>
      <c r="I156" s="50"/>
      <c r="K156" s="52">
        <v>45587</v>
      </c>
      <c r="L156" s="53">
        <v>1807539.25</v>
      </c>
      <c r="N156" s="49">
        <v>45600</v>
      </c>
      <c r="O156" s="50">
        <v>955</v>
      </c>
    </row>
    <row r="157" spans="1:15">
      <c r="A157" s="49">
        <v>45601</v>
      </c>
      <c r="B157" s="50">
        <v>1153.5</v>
      </c>
      <c r="C157" s="50"/>
      <c r="D157" s="49">
        <v>45602</v>
      </c>
      <c r="E157" s="50">
        <v>1145.69</v>
      </c>
      <c r="F157" s="50"/>
      <c r="G157" s="50"/>
      <c r="H157" s="50"/>
      <c r="I157" s="50"/>
      <c r="K157" s="52">
        <v>45586</v>
      </c>
      <c r="L157" s="53">
        <v>1820705.38</v>
      </c>
      <c r="N157" s="49">
        <v>45597</v>
      </c>
      <c r="O157" s="50">
        <v>955</v>
      </c>
    </row>
    <row r="158" spans="1:15">
      <c r="A158" s="49">
        <v>45600</v>
      </c>
      <c r="B158" s="50">
        <v>1151.54</v>
      </c>
      <c r="C158" s="50"/>
      <c r="D158" s="49">
        <v>45601</v>
      </c>
      <c r="E158" s="50">
        <v>1153.5</v>
      </c>
      <c r="F158" s="50"/>
      <c r="G158" s="50"/>
      <c r="H158" s="50"/>
      <c r="I158" s="50"/>
      <c r="K158" s="52">
        <v>45583</v>
      </c>
      <c r="L158" s="53">
        <v>1823329.75</v>
      </c>
      <c r="N158" s="49">
        <v>45596</v>
      </c>
      <c r="O158" s="50">
        <v>984</v>
      </c>
    </row>
    <row r="159" spans="1:15">
      <c r="A159" s="49">
        <v>45597</v>
      </c>
      <c r="B159" s="50">
        <v>1146.17</v>
      </c>
      <c r="C159" s="50"/>
      <c r="D159" s="49">
        <v>45600</v>
      </c>
      <c r="E159" s="50">
        <v>1151.54</v>
      </c>
      <c r="F159" s="50"/>
      <c r="G159" s="50"/>
      <c r="H159" s="50"/>
      <c r="I159" s="50"/>
      <c r="K159" s="52">
        <v>45582</v>
      </c>
      <c r="L159" s="53">
        <v>1801603.88</v>
      </c>
      <c r="N159" s="49">
        <v>45595</v>
      </c>
      <c r="O159" s="50">
        <v>956</v>
      </c>
    </row>
    <row r="160" spans="1:15">
      <c r="A160" s="49">
        <v>45596</v>
      </c>
      <c r="B160" s="50">
        <v>1131.46</v>
      </c>
      <c r="C160" s="50"/>
      <c r="D160" s="49">
        <v>45597</v>
      </c>
      <c r="E160" s="50">
        <v>1146.17</v>
      </c>
      <c r="F160" s="50"/>
      <c r="G160" s="50"/>
      <c r="H160" s="50"/>
      <c r="I160" s="50"/>
      <c r="K160" s="52">
        <v>45581</v>
      </c>
      <c r="L160" s="53">
        <v>1776060.5</v>
      </c>
      <c r="N160" s="49">
        <v>45594</v>
      </c>
      <c r="O160" s="50">
        <v>933</v>
      </c>
    </row>
    <row r="161" spans="1:15">
      <c r="A161" s="49">
        <v>45595</v>
      </c>
      <c r="B161" s="50">
        <v>1138.32</v>
      </c>
      <c r="C161" s="50"/>
      <c r="D161" s="49">
        <v>45596</v>
      </c>
      <c r="E161" s="50">
        <v>1131.46</v>
      </c>
      <c r="F161" s="50"/>
      <c r="G161" s="50"/>
      <c r="H161" s="50"/>
      <c r="I161" s="50"/>
      <c r="K161" s="52">
        <v>45580</v>
      </c>
      <c r="L161" s="53">
        <v>1816250.5</v>
      </c>
      <c r="N161" s="49">
        <v>45593</v>
      </c>
      <c r="O161" s="50">
        <v>914</v>
      </c>
    </row>
    <row r="162" spans="1:15">
      <c r="A162" s="49">
        <v>45594</v>
      </c>
      <c r="B162" s="50">
        <v>1138.18</v>
      </c>
      <c r="C162" s="50"/>
      <c r="D162" s="49">
        <v>45595</v>
      </c>
      <c r="E162" s="50">
        <v>1138.32</v>
      </c>
      <c r="F162" s="50"/>
      <c r="G162" s="50"/>
      <c r="H162" s="50"/>
      <c r="I162" s="50"/>
      <c r="K162" s="52">
        <v>45579</v>
      </c>
      <c r="L162" s="53">
        <v>1804414.63</v>
      </c>
      <c r="N162" s="49">
        <v>45590</v>
      </c>
      <c r="O162" s="50">
        <v>967</v>
      </c>
    </row>
    <row r="163" spans="1:15">
      <c r="A163" s="49">
        <v>45593</v>
      </c>
      <c r="B163" s="50">
        <v>1134.18</v>
      </c>
      <c r="C163" s="50"/>
      <c r="D163" s="49">
        <v>45594</v>
      </c>
      <c r="E163" s="50">
        <v>1138.18</v>
      </c>
      <c r="F163" s="50"/>
      <c r="G163" s="50"/>
      <c r="H163" s="50"/>
      <c r="I163" s="50"/>
      <c r="K163" s="52">
        <v>45575</v>
      </c>
      <c r="L163" s="53">
        <v>1782989.13</v>
      </c>
      <c r="N163" s="49">
        <v>45589</v>
      </c>
      <c r="O163" s="50">
        <v>1036</v>
      </c>
    </row>
    <row r="164" spans="1:15">
      <c r="A164" s="49">
        <v>45590</v>
      </c>
      <c r="B164" s="50">
        <v>1141.81</v>
      </c>
      <c r="C164" s="50"/>
      <c r="D164" s="49">
        <v>45593</v>
      </c>
      <c r="E164" s="50">
        <v>1134.18</v>
      </c>
      <c r="F164" s="50"/>
      <c r="G164" s="50"/>
      <c r="H164" s="50"/>
      <c r="I164" s="50"/>
      <c r="K164" s="52">
        <v>45574</v>
      </c>
      <c r="L164" s="53">
        <v>1771932.75</v>
      </c>
      <c r="N164" s="49">
        <v>45588</v>
      </c>
      <c r="O164" s="50">
        <v>1103</v>
      </c>
    </row>
    <row r="165" spans="1:15">
      <c r="A165" s="49">
        <v>45589</v>
      </c>
      <c r="B165" s="50">
        <v>1160</v>
      </c>
      <c r="C165" s="50"/>
      <c r="D165" s="49">
        <v>45590</v>
      </c>
      <c r="E165" s="50">
        <v>1141.81</v>
      </c>
      <c r="F165" s="50"/>
      <c r="G165" s="50"/>
      <c r="H165" s="50"/>
      <c r="I165" s="50"/>
      <c r="K165" s="52">
        <v>45573</v>
      </c>
      <c r="L165" s="53">
        <v>1731369.63</v>
      </c>
      <c r="N165" s="49">
        <v>45587</v>
      </c>
      <c r="O165" s="50">
        <v>1099</v>
      </c>
    </row>
    <row r="166" spans="1:15">
      <c r="A166" s="49">
        <v>45588</v>
      </c>
      <c r="B166" s="50">
        <v>1161.99</v>
      </c>
      <c r="C166" s="50"/>
      <c r="D166" s="49">
        <v>45589</v>
      </c>
      <c r="E166" s="50">
        <v>1160</v>
      </c>
      <c r="F166" s="50"/>
      <c r="G166" s="50"/>
      <c r="H166" s="50"/>
      <c r="I166" s="50"/>
      <c r="K166" s="52">
        <v>45572</v>
      </c>
      <c r="L166" s="53">
        <v>1714593.63</v>
      </c>
      <c r="N166" s="49">
        <v>45586</v>
      </c>
      <c r="O166" s="50">
        <v>1100</v>
      </c>
    </row>
    <row r="167" spans="1:15">
      <c r="A167" s="49">
        <v>45587</v>
      </c>
      <c r="B167" s="50">
        <v>1161.97</v>
      </c>
      <c r="C167" s="50"/>
      <c r="D167" s="49">
        <v>45588</v>
      </c>
      <c r="E167" s="50">
        <v>1161.99</v>
      </c>
      <c r="F167" s="50"/>
      <c r="G167" s="50"/>
      <c r="H167" s="50"/>
      <c r="I167" s="50"/>
      <c r="K167" s="52">
        <v>45569</v>
      </c>
      <c r="L167" s="53">
        <v>1756514.5</v>
      </c>
      <c r="N167" s="49">
        <v>45583</v>
      </c>
      <c r="O167" s="50">
        <v>1097</v>
      </c>
    </row>
    <row r="168" spans="1:15">
      <c r="A168" s="49">
        <v>45586</v>
      </c>
      <c r="B168" s="50">
        <v>1167.9100000000001</v>
      </c>
      <c r="C168" s="50"/>
      <c r="D168" s="49">
        <v>45587</v>
      </c>
      <c r="E168" s="50">
        <v>1161.97</v>
      </c>
      <c r="F168" s="50"/>
      <c r="G168" s="50"/>
      <c r="H168" s="50"/>
      <c r="I168" s="50"/>
      <c r="K168" s="52">
        <v>45568</v>
      </c>
      <c r="L168" s="53">
        <v>1754992.38</v>
      </c>
      <c r="N168" s="49">
        <v>45582</v>
      </c>
      <c r="O168" s="50">
        <v>1099</v>
      </c>
    </row>
    <row r="169" spans="1:15">
      <c r="A169" s="49">
        <v>45583</v>
      </c>
      <c r="B169" s="50">
        <v>1159.05</v>
      </c>
      <c r="C169" s="50"/>
      <c r="D169" s="49">
        <v>45586</v>
      </c>
      <c r="E169" s="50">
        <v>1167.9100000000001</v>
      </c>
      <c r="F169" s="50"/>
      <c r="G169" s="50"/>
      <c r="H169" s="50"/>
      <c r="I169" s="50"/>
      <c r="K169" s="52">
        <v>45567</v>
      </c>
      <c r="L169" s="53">
        <v>1715159</v>
      </c>
      <c r="N169" s="49">
        <v>45581</v>
      </c>
      <c r="O169" s="50">
        <v>1052</v>
      </c>
    </row>
    <row r="170" spans="1:15">
      <c r="A170" s="49">
        <v>45582</v>
      </c>
      <c r="B170" s="50">
        <v>1159.5999999999999</v>
      </c>
      <c r="C170" s="50"/>
      <c r="D170" s="49">
        <v>45583</v>
      </c>
      <c r="E170" s="50">
        <v>1159.05</v>
      </c>
      <c r="F170" s="50"/>
      <c r="G170" s="50"/>
      <c r="H170" s="50"/>
      <c r="I170" s="50"/>
      <c r="K170" s="52">
        <v>45566</v>
      </c>
      <c r="L170" s="53">
        <v>1728761.13</v>
      </c>
      <c r="N170" s="49">
        <v>45580</v>
      </c>
      <c r="O170" s="50">
        <v>1044</v>
      </c>
    </row>
    <row r="171" spans="1:15">
      <c r="A171" s="49">
        <v>45581</v>
      </c>
      <c r="B171" s="50">
        <v>1159.8900000000001</v>
      </c>
      <c r="C171" s="50"/>
      <c r="D171" s="49">
        <v>45582</v>
      </c>
      <c r="E171" s="50">
        <v>1159.5999999999999</v>
      </c>
      <c r="F171" s="50"/>
      <c r="G171" s="50"/>
      <c r="H171" s="50"/>
      <c r="I171" s="50"/>
      <c r="K171" s="52">
        <v>45565</v>
      </c>
      <c r="L171" s="53">
        <v>1697400.63</v>
      </c>
      <c r="N171" s="49">
        <v>45579</v>
      </c>
      <c r="O171" s="50">
        <v>1106</v>
      </c>
    </row>
    <row r="172" spans="1:15">
      <c r="A172" s="49">
        <v>45580</v>
      </c>
      <c r="B172" s="50">
        <v>1139.9100000000001</v>
      </c>
      <c r="C172" s="50"/>
      <c r="D172" s="49">
        <v>45581</v>
      </c>
      <c r="E172" s="50">
        <v>1159.8900000000001</v>
      </c>
      <c r="F172" s="50"/>
      <c r="G172" s="50"/>
      <c r="H172" s="50"/>
      <c r="I172" s="50"/>
      <c r="K172" s="52">
        <v>45562</v>
      </c>
      <c r="L172" s="53">
        <v>1727776.5</v>
      </c>
      <c r="N172" s="49">
        <v>45576</v>
      </c>
      <c r="O172" s="50">
        <v>1106</v>
      </c>
    </row>
    <row r="173" spans="1:15">
      <c r="A173" s="49">
        <v>45579</v>
      </c>
      <c r="B173" s="50">
        <v>1143.8800000000001</v>
      </c>
      <c r="C173" s="50"/>
      <c r="D173" s="49">
        <v>45580</v>
      </c>
      <c r="E173" s="50">
        <v>1139.9100000000001</v>
      </c>
      <c r="F173" s="50"/>
      <c r="G173" s="50"/>
      <c r="H173" s="50"/>
      <c r="I173" s="50"/>
      <c r="K173" s="52">
        <v>45561</v>
      </c>
      <c r="L173" s="53">
        <v>1715670.63</v>
      </c>
      <c r="N173" s="49">
        <v>45575</v>
      </c>
      <c r="O173" s="50">
        <v>1126</v>
      </c>
    </row>
    <row r="174" spans="1:15">
      <c r="A174" s="49">
        <v>45576</v>
      </c>
      <c r="B174" s="50">
        <v>1134.8399999999999</v>
      </c>
      <c r="C174" s="50"/>
      <c r="D174" s="49">
        <v>45579</v>
      </c>
      <c r="E174" s="50">
        <v>1143.8800000000001</v>
      </c>
      <c r="F174" s="50"/>
      <c r="G174" s="50"/>
      <c r="H174" s="50"/>
      <c r="I174" s="50"/>
      <c r="K174" s="52">
        <v>45560</v>
      </c>
      <c r="L174" s="53">
        <v>1744131.25</v>
      </c>
      <c r="N174" s="49">
        <v>45574</v>
      </c>
      <c r="O174" s="50">
        <v>1121</v>
      </c>
    </row>
    <row r="175" spans="1:15">
      <c r="A175" s="49">
        <v>45575</v>
      </c>
      <c r="B175" s="50">
        <v>1134.8399999999999</v>
      </c>
      <c r="C175" s="50"/>
      <c r="D175" s="49">
        <v>45576</v>
      </c>
      <c r="E175" s="50">
        <v>1134.8399999999999</v>
      </c>
      <c r="F175" s="50"/>
      <c r="G175" s="50"/>
      <c r="H175" s="50"/>
      <c r="I175" s="50"/>
      <c r="K175" s="52">
        <v>45559</v>
      </c>
      <c r="L175" s="53">
        <v>1774667.88</v>
      </c>
      <c r="N175" s="49">
        <v>45573</v>
      </c>
      <c r="O175" s="50">
        <v>1188</v>
      </c>
    </row>
    <row r="176" spans="1:15">
      <c r="A176" s="49">
        <v>45574</v>
      </c>
      <c r="B176" s="50">
        <v>1147.4000000000001</v>
      </c>
      <c r="C176" s="50"/>
      <c r="D176" s="49">
        <v>45575</v>
      </c>
      <c r="E176" s="50">
        <v>1134.8399999999999</v>
      </c>
      <c r="F176" s="50"/>
      <c r="G176" s="50"/>
      <c r="H176" s="50"/>
      <c r="I176" s="50"/>
      <c r="K176" s="52">
        <v>45558</v>
      </c>
      <c r="L176" s="53">
        <v>1790228.13</v>
      </c>
      <c r="N176" s="49">
        <v>45572</v>
      </c>
      <c r="O176" s="50">
        <v>1207</v>
      </c>
    </row>
    <row r="177" spans="1:15">
      <c r="A177" s="49">
        <v>45573</v>
      </c>
      <c r="B177" s="50">
        <v>1169.54</v>
      </c>
      <c r="C177" s="50"/>
      <c r="D177" s="49">
        <v>45574</v>
      </c>
      <c r="E177" s="50">
        <v>1147.4000000000001</v>
      </c>
      <c r="F177" s="50"/>
      <c r="G177" s="50"/>
      <c r="H177" s="50"/>
      <c r="I177" s="50"/>
      <c r="K177" s="52">
        <v>45555</v>
      </c>
      <c r="L177" s="53">
        <v>1822928.25</v>
      </c>
      <c r="N177" s="49">
        <v>45569</v>
      </c>
      <c r="O177" s="50">
        <v>1258</v>
      </c>
    </row>
    <row r="178" spans="1:15">
      <c r="A178" s="49">
        <v>45572</v>
      </c>
      <c r="B178" s="50">
        <v>1184.07</v>
      </c>
      <c r="C178" s="50"/>
      <c r="D178" s="49">
        <v>45573</v>
      </c>
      <c r="E178" s="50">
        <v>1169.54</v>
      </c>
      <c r="F178" s="50"/>
      <c r="G178" s="50"/>
      <c r="H178" s="50"/>
      <c r="I178" s="50"/>
      <c r="K178" s="52">
        <v>45554</v>
      </c>
      <c r="L178" s="53">
        <v>1847053.13</v>
      </c>
      <c r="N178" s="49">
        <v>45568</v>
      </c>
      <c r="O178" s="50">
        <v>1265</v>
      </c>
    </row>
    <row r="179" spans="1:15">
      <c r="A179" s="49">
        <v>45569</v>
      </c>
      <c r="B179" s="50">
        <v>1187.52</v>
      </c>
      <c r="C179" s="50"/>
      <c r="D179" s="49">
        <v>45572</v>
      </c>
      <c r="E179" s="50">
        <v>1184.07</v>
      </c>
      <c r="F179" s="50"/>
      <c r="G179" s="50"/>
      <c r="H179" s="50"/>
      <c r="I179" s="50"/>
      <c r="K179" s="52">
        <v>45553</v>
      </c>
      <c r="L179" s="53">
        <v>1815098.88</v>
      </c>
      <c r="N179" s="49">
        <v>45567</v>
      </c>
      <c r="O179" s="50">
        <v>1276</v>
      </c>
    </row>
    <row r="180" spans="1:15">
      <c r="A180" s="49">
        <v>45568</v>
      </c>
      <c r="B180" s="50">
        <v>1191.74</v>
      </c>
      <c r="C180" s="50"/>
      <c r="D180" s="49">
        <v>45569</v>
      </c>
      <c r="E180" s="50">
        <v>1187.52</v>
      </c>
      <c r="F180" s="50"/>
      <c r="G180" s="50"/>
      <c r="H180" s="50"/>
      <c r="I180" s="50"/>
      <c r="K180" s="52">
        <v>45552</v>
      </c>
      <c r="L180" s="53">
        <v>1813298</v>
      </c>
      <c r="N180" s="49">
        <v>45566</v>
      </c>
      <c r="O180" s="50">
        <v>1288</v>
      </c>
    </row>
    <row r="181" spans="1:15">
      <c r="A181" s="49">
        <v>45567</v>
      </c>
      <c r="B181" s="50">
        <v>1207.51</v>
      </c>
      <c r="C181" s="50"/>
      <c r="D181" s="49">
        <v>45568</v>
      </c>
      <c r="E181" s="50">
        <v>1191.74</v>
      </c>
      <c r="F181" s="50"/>
      <c r="G181" s="50"/>
      <c r="H181" s="50"/>
      <c r="I181" s="50"/>
      <c r="K181" s="52">
        <v>45551</v>
      </c>
      <c r="L181" s="53">
        <v>1812872.38</v>
      </c>
      <c r="N181" s="49">
        <v>45565</v>
      </c>
      <c r="O181" s="50">
        <v>1290</v>
      </c>
    </row>
    <row r="182" spans="1:15">
      <c r="A182" s="49">
        <v>45566</v>
      </c>
      <c r="B182" s="50">
        <v>1220.07</v>
      </c>
      <c r="C182" s="50"/>
      <c r="D182" s="49">
        <v>45567</v>
      </c>
      <c r="E182" s="50">
        <v>1207.51</v>
      </c>
      <c r="F182" s="50"/>
      <c r="G182" s="50"/>
      <c r="H182" s="50"/>
      <c r="I182" s="50"/>
      <c r="K182" s="52">
        <v>45548</v>
      </c>
      <c r="L182" s="53">
        <v>1817734</v>
      </c>
      <c r="N182" s="49">
        <v>45562</v>
      </c>
      <c r="O182" s="50">
        <v>1311</v>
      </c>
    </row>
    <row r="183" spans="1:15">
      <c r="A183" s="49">
        <v>45565</v>
      </c>
      <c r="B183" s="50">
        <v>1215.03</v>
      </c>
      <c r="C183" s="50"/>
      <c r="D183" s="49">
        <v>45566</v>
      </c>
      <c r="E183" s="50">
        <v>1220.07</v>
      </c>
      <c r="F183" s="50"/>
      <c r="G183" s="50"/>
      <c r="H183" s="50"/>
      <c r="I183" s="50"/>
      <c r="K183" s="52">
        <v>45547</v>
      </c>
      <c r="L183" s="53">
        <v>1790058.13</v>
      </c>
      <c r="N183" s="49">
        <v>45561</v>
      </c>
      <c r="O183" s="50">
        <v>1302</v>
      </c>
    </row>
    <row r="184" spans="1:15">
      <c r="A184" s="49">
        <v>45562</v>
      </c>
      <c r="B184" s="50">
        <v>1207.75</v>
      </c>
      <c r="C184" s="50"/>
      <c r="D184" s="49">
        <v>45565</v>
      </c>
      <c r="E184" s="50">
        <v>1215.03</v>
      </c>
      <c r="F184" s="50"/>
      <c r="G184" s="50"/>
      <c r="H184" s="50"/>
      <c r="I184" s="50"/>
      <c r="K184" s="52">
        <v>45546</v>
      </c>
      <c r="L184" s="53">
        <v>1764128.5</v>
      </c>
      <c r="N184" s="49">
        <v>45560</v>
      </c>
      <c r="O184" s="50">
        <v>1304</v>
      </c>
    </row>
    <row r="185" spans="1:15">
      <c r="A185" s="49">
        <v>45561</v>
      </c>
      <c r="B185" s="50">
        <v>1210.95</v>
      </c>
      <c r="C185" s="50"/>
      <c r="D185" s="49">
        <v>45562</v>
      </c>
      <c r="E185" s="50">
        <v>1207.75</v>
      </c>
      <c r="F185" s="50"/>
      <c r="G185" s="50"/>
      <c r="H185" s="50"/>
      <c r="I185" s="50"/>
      <c r="K185" s="52">
        <v>45545</v>
      </c>
      <c r="L185" s="53">
        <v>1715184.88</v>
      </c>
      <c r="N185" s="49">
        <v>45559</v>
      </c>
      <c r="O185" s="50">
        <v>1303</v>
      </c>
    </row>
    <row r="186" spans="1:15">
      <c r="A186" s="49">
        <v>45560</v>
      </c>
      <c r="B186" s="50">
        <v>1209.79</v>
      </c>
      <c r="C186" s="50"/>
      <c r="D186" s="49">
        <v>45561</v>
      </c>
      <c r="E186" s="50">
        <v>1210.95</v>
      </c>
      <c r="F186" s="50"/>
      <c r="G186" s="50"/>
      <c r="H186" s="50"/>
      <c r="I186" s="50"/>
      <c r="K186" s="52">
        <v>45544</v>
      </c>
      <c r="L186" s="53">
        <v>1738555.75</v>
      </c>
      <c r="N186" s="49">
        <v>45558</v>
      </c>
      <c r="O186" s="50">
        <v>1308</v>
      </c>
    </row>
    <row r="187" spans="1:15">
      <c r="A187" s="49">
        <v>45559</v>
      </c>
      <c r="B187" s="50">
        <v>1202.1300000000001</v>
      </c>
      <c r="C187" s="50"/>
      <c r="D187" s="49">
        <v>45560</v>
      </c>
      <c r="E187" s="50">
        <v>1209.79</v>
      </c>
      <c r="F187" s="50"/>
      <c r="G187" s="50"/>
      <c r="H187" s="50"/>
      <c r="I187" s="50"/>
      <c r="K187" s="52">
        <v>45541</v>
      </c>
      <c r="L187" s="53">
        <v>1721668</v>
      </c>
      <c r="N187" s="49">
        <v>45555</v>
      </c>
      <c r="O187" s="50">
        <v>1319</v>
      </c>
    </row>
    <row r="188" spans="1:15">
      <c r="A188" s="49">
        <v>45558</v>
      </c>
      <c r="B188" s="50">
        <v>1204.57</v>
      </c>
      <c r="C188" s="50"/>
      <c r="D188" s="49">
        <v>45559</v>
      </c>
      <c r="E188" s="50">
        <v>1202.1300000000001</v>
      </c>
      <c r="F188" s="50"/>
      <c r="G188" s="50"/>
      <c r="H188" s="50"/>
      <c r="I188" s="50"/>
      <c r="K188" s="52">
        <v>45540</v>
      </c>
      <c r="L188" s="53">
        <v>1765465</v>
      </c>
      <c r="N188" s="49">
        <v>45554</v>
      </c>
      <c r="O188" s="50">
        <v>1301</v>
      </c>
    </row>
    <row r="189" spans="1:15">
      <c r="A189" s="49">
        <v>45555</v>
      </c>
      <c r="B189" s="50">
        <v>1200.0999999999999</v>
      </c>
      <c r="C189" s="50"/>
      <c r="D189" s="49">
        <v>45558</v>
      </c>
      <c r="E189" s="50">
        <v>1204.57</v>
      </c>
      <c r="F189" s="50"/>
      <c r="G189" s="50"/>
      <c r="H189" s="50"/>
      <c r="I189" s="50"/>
      <c r="K189" s="52">
        <v>45539</v>
      </c>
      <c r="L189" s="53">
        <v>1796920.13</v>
      </c>
      <c r="N189" s="49">
        <v>45553</v>
      </c>
      <c r="O189" s="50">
        <v>1363</v>
      </c>
    </row>
    <row r="190" spans="1:15">
      <c r="A190" s="49">
        <v>45554</v>
      </c>
      <c r="B190" s="50">
        <v>1197.74</v>
      </c>
      <c r="C190" s="50"/>
      <c r="D190" s="49">
        <v>45555</v>
      </c>
      <c r="E190" s="50">
        <v>1200.0999999999999</v>
      </c>
      <c r="F190" s="50"/>
      <c r="G190" s="50"/>
      <c r="H190" s="50"/>
      <c r="I190" s="50"/>
      <c r="K190" s="52">
        <v>45538</v>
      </c>
      <c r="L190" s="53">
        <v>1735253</v>
      </c>
      <c r="N190" s="49">
        <v>45552</v>
      </c>
      <c r="O190" s="50">
        <v>1370</v>
      </c>
    </row>
    <row r="191" spans="1:15">
      <c r="A191" s="49">
        <v>45553</v>
      </c>
      <c r="B191" s="50">
        <v>1206.72</v>
      </c>
      <c r="C191" s="50"/>
      <c r="D191" s="49">
        <v>45554</v>
      </c>
      <c r="E191" s="50">
        <v>1197.74</v>
      </c>
      <c r="F191" s="50"/>
      <c r="G191" s="50"/>
      <c r="H191" s="50"/>
      <c r="I191" s="50"/>
      <c r="K191" s="52">
        <v>45537</v>
      </c>
      <c r="L191" s="53">
        <v>1754832.88</v>
      </c>
      <c r="N191" s="49">
        <v>45551</v>
      </c>
      <c r="O191" s="50">
        <v>1365</v>
      </c>
    </row>
    <row r="192" spans="1:15">
      <c r="A192" s="49">
        <v>45552</v>
      </c>
      <c r="B192" s="50">
        <v>1214.04</v>
      </c>
      <c r="C192" s="50"/>
      <c r="D192" s="49">
        <v>45553</v>
      </c>
      <c r="E192" s="50">
        <v>1206.72</v>
      </c>
      <c r="F192" s="50"/>
      <c r="G192" s="50"/>
      <c r="H192" s="50"/>
      <c r="I192" s="50"/>
      <c r="K192" s="52">
        <v>45534</v>
      </c>
      <c r="L192" s="53">
        <v>1717564.5</v>
      </c>
      <c r="N192" s="49">
        <v>45548</v>
      </c>
      <c r="O192" s="50">
        <v>1400</v>
      </c>
    </row>
    <row r="193" spans="1:15">
      <c r="A193" s="49">
        <v>45551</v>
      </c>
      <c r="B193" s="50">
        <v>1215.72</v>
      </c>
      <c r="C193" s="50"/>
      <c r="D193" s="49">
        <v>45552</v>
      </c>
      <c r="E193" s="50">
        <v>1214.04</v>
      </c>
      <c r="F193" s="50"/>
      <c r="G193" s="50"/>
      <c r="H193" s="50"/>
      <c r="I193" s="50"/>
      <c r="K193" s="52">
        <v>45533</v>
      </c>
      <c r="L193" s="53">
        <v>1660144</v>
      </c>
      <c r="N193" s="49">
        <v>45547</v>
      </c>
      <c r="O193" s="50">
        <v>1422</v>
      </c>
    </row>
    <row r="194" spans="1:15">
      <c r="A194" s="49">
        <v>45548</v>
      </c>
      <c r="B194" s="50">
        <v>1226.53</v>
      </c>
      <c r="C194" s="50"/>
      <c r="D194" s="49">
        <v>45551</v>
      </c>
      <c r="E194" s="50">
        <v>1215.72</v>
      </c>
      <c r="F194" s="50"/>
      <c r="G194" s="50"/>
      <c r="H194" s="50"/>
      <c r="I194" s="50"/>
      <c r="K194" s="52">
        <v>45532</v>
      </c>
      <c r="L194" s="53">
        <v>1617544.38</v>
      </c>
      <c r="N194" s="49">
        <v>45546</v>
      </c>
      <c r="O194" s="50">
        <v>1445</v>
      </c>
    </row>
    <row r="195" spans="1:15">
      <c r="A195" s="49">
        <v>45547</v>
      </c>
      <c r="B195" s="50">
        <v>1239.48</v>
      </c>
      <c r="C195" s="50"/>
      <c r="D195" s="49">
        <v>45548</v>
      </c>
      <c r="E195" s="50">
        <v>1226.53</v>
      </c>
      <c r="F195" s="50"/>
      <c r="G195" s="50"/>
      <c r="H195" s="50"/>
      <c r="I195" s="50"/>
      <c r="K195" s="52">
        <v>45531</v>
      </c>
      <c r="L195" s="53">
        <v>1616134.13</v>
      </c>
      <c r="N195" s="49">
        <v>45545</v>
      </c>
      <c r="O195" s="50">
        <v>1445</v>
      </c>
    </row>
    <row r="196" spans="1:15">
      <c r="A196" s="49">
        <v>45546</v>
      </c>
      <c r="B196" s="50">
        <v>1230.1600000000001</v>
      </c>
      <c r="C196" s="50"/>
      <c r="D196" s="49">
        <v>45547</v>
      </c>
      <c r="E196" s="50">
        <v>1239.48</v>
      </c>
      <c r="F196" s="50"/>
      <c r="G196" s="50"/>
      <c r="H196" s="50"/>
      <c r="I196" s="50"/>
      <c r="K196" s="52">
        <v>45530</v>
      </c>
      <c r="L196" s="53">
        <v>1593002.5</v>
      </c>
      <c r="N196" s="49">
        <v>45544</v>
      </c>
      <c r="O196" s="50">
        <v>1442</v>
      </c>
    </row>
    <row r="197" spans="1:15">
      <c r="A197" s="49">
        <v>45545</v>
      </c>
      <c r="B197" s="50">
        <v>1230.44</v>
      </c>
      <c r="C197" s="50"/>
      <c r="D197" s="49">
        <v>45546</v>
      </c>
      <c r="E197" s="50">
        <v>1230.1600000000001</v>
      </c>
      <c r="F197" s="50"/>
      <c r="G197" s="50"/>
      <c r="H197" s="50"/>
      <c r="I197" s="50"/>
      <c r="K197" s="52">
        <v>45527</v>
      </c>
      <c r="L197" s="53">
        <v>1606967.38</v>
      </c>
      <c r="N197" s="49">
        <v>45541</v>
      </c>
      <c r="O197" s="50">
        <v>1483</v>
      </c>
    </row>
    <row r="198" spans="1:15">
      <c r="A198" s="49">
        <v>45544</v>
      </c>
      <c r="B198" s="50">
        <v>1226.42</v>
      </c>
      <c r="C198" s="50"/>
      <c r="D198" s="49">
        <v>45545</v>
      </c>
      <c r="E198" s="50">
        <v>1230.44</v>
      </c>
      <c r="F198" s="50"/>
      <c r="G198" s="50"/>
      <c r="H198" s="50"/>
      <c r="I198" s="50"/>
      <c r="K198" s="52">
        <v>45526</v>
      </c>
      <c r="L198" s="53">
        <v>1577419.88</v>
      </c>
      <c r="N198" s="49">
        <v>45540</v>
      </c>
      <c r="O198" s="50">
        <v>1452</v>
      </c>
    </row>
    <row r="199" spans="1:15">
      <c r="A199" s="49">
        <v>45541</v>
      </c>
      <c r="B199" s="50">
        <v>1243.8699999999999</v>
      </c>
      <c r="C199" s="50"/>
      <c r="D199" s="49">
        <v>45544</v>
      </c>
      <c r="E199" s="50">
        <v>1226.42</v>
      </c>
      <c r="F199" s="50"/>
      <c r="G199" s="50"/>
      <c r="H199" s="50"/>
      <c r="I199" s="50"/>
      <c r="K199" s="52">
        <v>45525</v>
      </c>
      <c r="L199" s="53">
        <v>1621075.63</v>
      </c>
      <c r="N199" s="49">
        <v>45539</v>
      </c>
      <c r="O199" s="50">
        <v>1465</v>
      </c>
    </row>
    <row r="200" spans="1:15">
      <c r="A200" s="49">
        <v>45540</v>
      </c>
      <c r="B200" s="50">
        <v>1258.82</v>
      </c>
      <c r="C200" s="50"/>
      <c r="D200" s="49">
        <v>45541</v>
      </c>
      <c r="E200" s="50">
        <v>1243.8699999999999</v>
      </c>
      <c r="F200" s="50"/>
      <c r="G200" s="50"/>
      <c r="H200" s="50"/>
      <c r="I200" s="50"/>
      <c r="K200" s="52">
        <v>45524</v>
      </c>
      <c r="L200" s="53">
        <v>1659274.75</v>
      </c>
      <c r="N200" s="49">
        <v>45538</v>
      </c>
      <c r="O200" s="50">
        <v>1467</v>
      </c>
    </row>
    <row r="201" spans="1:15">
      <c r="A201" s="49">
        <v>45539</v>
      </c>
      <c r="B201" s="50">
        <v>1279.8399999999999</v>
      </c>
      <c r="C201" s="50"/>
      <c r="D201" s="49">
        <v>45540</v>
      </c>
      <c r="E201" s="50">
        <v>1258.82</v>
      </c>
      <c r="F201" s="50"/>
      <c r="G201" s="50"/>
      <c r="H201" s="50"/>
      <c r="I201" s="50"/>
      <c r="K201" s="52">
        <v>45523</v>
      </c>
      <c r="L201" s="53">
        <v>1657074.63</v>
      </c>
      <c r="N201" s="49">
        <v>45537</v>
      </c>
      <c r="O201" s="50">
        <v>1433</v>
      </c>
    </row>
    <row r="202" spans="1:15">
      <c r="A202" s="49">
        <v>45538</v>
      </c>
      <c r="B202" s="50">
        <v>1294.46</v>
      </c>
      <c r="C202" s="50"/>
      <c r="D202" s="49">
        <v>45539</v>
      </c>
      <c r="E202" s="50">
        <v>1279.8399999999999</v>
      </c>
      <c r="F202" s="50"/>
      <c r="G202" s="50"/>
      <c r="H202" s="50"/>
      <c r="I202" s="50"/>
      <c r="K202" s="52">
        <v>45520</v>
      </c>
      <c r="L202" s="53">
        <v>1649329.38</v>
      </c>
      <c r="N202" s="49">
        <v>45534</v>
      </c>
      <c r="O202" s="50">
        <v>1433</v>
      </c>
    </row>
    <row r="203" spans="1:15">
      <c r="A203" s="49">
        <v>45537</v>
      </c>
      <c r="B203" s="50">
        <v>1285.01</v>
      </c>
      <c r="C203" s="50"/>
      <c r="D203" s="49">
        <v>45538</v>
      </c>
      <c r="E203" s="50">
        <v>1294.46</v>
      </c>
      <c r="F203" s="50"/>
      <c r="G203" s="50"/>
      <c r="H203" s="50"/>
      <c r="I203" s="50"/>
      <c r="K203" s="52">
        <v>45519</v>
      </c>
      <c r="L203" s="53">
        <v>1643875</v>
      </c>
      <c r="N203" s="49">
        <v>45533</v>
      </c>
      <c r="O203" s="50">
        <v>1444</v>
      </c>
    </row>
    <row r="204" spans="1:15">
      <c r="A204" s="49">
        <v>45534</v>
      </c>
      <c r="B204" s="50">
        <v>1279.96</v>
      </c>
      <c r="C204" s="50"/>
      <c r="D204" s="49">
        <v>45537</v>
      </c>
      <c r="E204" s="50">
        <v>1285.01</v>
      </c>
      <c r="F204" s="50"/>
      <c r="G204" s="50"/>
      <c r="H204" s="50"/>
      <c r="I204" s="50"/>
      <c r="K204" s="52">
        <v>45518</v>
      </c>
      <c r="L204" s="53">
        <v>1607310.13</v>
      </c>
      <c r="N204" s="49">
        <v>45532</v>
      </c>
      <c r="O204" s="50">
        <v>1484</v>
      </c>
    </row>
    <row r="205" spans="1:15">
      <c r="A205" s="49">
        <v>45533</v>
      </c>
      <c r="B205" s="50">
        <v>1271.33</v>
      </c>
      <c r="C205" s="50"/>
      <c r="D205" s="49">
        <v>45534</v>
      </c>
      <c r="E205" s="50">
        <v>1279.96</v>
      </c>
      <c r="F205" s="50"/>
      <c r="G205" s="50"/>
      <c r="H205" s="50"/>
      <c r="I205" s="50"/>
      <c r="K205" s="52">
        <v>45517</v>
      </c>
      <c r="L205" s="53">
        <v>1591696.88</v>
      </c>
      <c r="N205" s="49">
        <v>45531</v>
      </c>
      <c r="O205" s="50">
        <v>1510</v>
      </c>
    </row>
    <row r="206" spans="1:15">
      <c r="A206" s="49">
        <v>45532</v>
      </c>
      <c r="B206" s="50">
        <v>1282.19</v>
      </c>
      <c r="C206" s="50"/>
      <c r="D206" s="49">
        <v>45533</v>
      </c>
      <c r="E206" s="50">
        <v>1271.33</v>
      </c>
      <c r="F206" s="50"/>
      <c r="G206" s="50"/>
      <c r="H206" s="50"/>
      <c r="I206" s="50"/>
      <c r="K206" s="52">
        <v>45516</v>
      </c>
      <c r="L206" s="53">
        <v>1588905.13</v>
      </c>
      <c r="N206" s="49">
        <v>45530</v>
      </c>
      <c r="O206" s="50">
        <v>1516</v>
      </c>
    </row>
    <row r="207" spans="1:15">
      <c r="A207" s="49">
        <v>45531</v>
      </c>
      <c r="B207" s="50">
        <v>1286.19</v>
      </c>
      <c r="C207" s="50"/>
      <c r="D207" s="49">
        <v>45532</v>
      </c>
      <c r="E207" s="50">
        <v>1282.19</v>
      </c>
      <c r="F207" s="50"/>
      <c r="G207" s="50"/>
      <c r="H207" s="50"/>
      <c r="I207" s="50"/>
      <c r="K207" s="52">
        <v>45513</v>
      </c>
      <c r="L207" s="53">
        <v>1583894.88</v>
      </c>
      <c r="N207" s="49">
        <v>45527</v>
      </c>
      <c r="O207" s="50">
        <v>1516</v>
      </c>
    </row>
    <row r="208" spans="1:15">
      <c r="A208" s="49">
        <v>45530</v>
      </c>
      <c r="B208" s="50">
        <v>1288.25</v>
      </c>
      <c r="C208" s="50"/>
      <c r="D208" s="49">
        <v>45531</v>
      </c>
      <c r="E208" s="50">
        <v>1286.19</v>
      </c>
      <c r="F208" s="50"/>
      <c r="G208" s="50"/>
      <c r="H208" s="50"/>
      <c r="I208" s="50"/>
      <c r="K208" s="52">
        <v>45512</v>
      </c>
      <c r="L208" s="53">
        <v>1530365.75</v>
      </c>
      <c r="N208" s="49">
        <v>45526</v>
      </c>
      <c r="O208" s="50">
        <v>1560</v>
      </c>
    </row>
    <row r="209" spans="1:15">
      <c r="A209" s="49">
        <v>45527</v>
      </c>
      <c r="B209" s="50">
        <v>1282.7</v>
      </c>
      <c r="C209" s="50"/>
      <c r="D209" s="49">
        <v>45530</v>
      </c>
      <c r="E209" s="50">
        <v>1288.25</v>
      </c>
      <c r="F209" s="50"/>
      <c r="G209" s="50"/>
      <c r="H209" s="50"/>
      <c r="I209" s="50"/>
      <c r="K209" s="52">
        <v>45511</v>
      </c>
      <c r="L209" s="53">
        <v>1452160.75</v>
      </c>
      <c r="N209" s="49">
        <v>45525</v>
      </c>
      <c r="O209" s="50">
        <v>1525</v>
      </c>
    </row>
    <row r="210" spans="1:15">
      <c r="A210" s="49">
        <v>45526</v>
      </c>
      <c r="B210" s="50">
        <v>1283.23</v>
      </c>
      <c r="C210" s="50"/>
      <c r="D210" s="49">
        <v>45527</v>
      </c>
      <c r="E210" s="50">
        <v>1282.7</v>
      </c>
      <c r="F210" s="50"/>
      <c r="G210" s="50"/>
      <c r="H210" s="50"/>
      <c r="I210" s="50"/>
      <c r="K210" s="52">
        <v>45510</v>
      </c>
      <c r="L210" s="53">
        <v>1457571</v>
      </c>
      <c r="N210" s="49">
        <v>45524</v>
      </c>
      <c r="O210" s="50">
        <v>1493</v>
      </c>
    </row>
    <row r="211" spans="1:15">
      <c r="A211" s="49">
        <v>45525</v>
      </c>
      <c r="B211" s="50">
        <v>1291.75</v>
      </c>
      <c r="C211" s="50"/>
      <c r="D211" s="49">
        <v>45526</v>
      </c>
      <c r="E211" s="50">
        <v>1283.23</v>
      </c>
      <c r="F211" s="50"/>
      <c r="G211" s="50"/>
      <c r="H211" s="50"/>
      <c r="I211" s="50"/>
      <c r="K211" s="52">
        <v>45509</v>
      </c>
      <c r="L211" s="53">
        <v>1420523</v>
      </c>
      <c r="N211" s="49">
        <v>45523</v>
      </c>
      <c r="O211" s="50">
        <v>1471</v>
      </c>
    </row>
    <row r="212" spans="1:15">
      <c r="A212" s="49">
        <v>45524</v>
      </c>
      <c r="B212" s="50">
        <v>1287.82</v>
      </c>
      <c r="C212" s="50"/>
      <c r="D212" s="49">
        <v>45525</v>
      </c>
      <c r="E212" s="50">
        <v>1291.75</v>
      </c>
      <c r="F212" s="50"/>
      <c r="G212" s="50"/>
      <c r="H212" s="50"/>
      <c r="I212" s="50"/>
      <c r="K212" s="52">
        <v>45506</v>
      </c>
      <c r="L212" s="53">
        <v>1433349.88</v>
      </c>
      <c r="N212" s="49">
        <v>45520</v>
      </c>
      <c r="O212" s="50">
        <v>1471</v>
      </c>
    </row>
    <row r="213" spans="1:15">
      <c r="A213" s="49">
        <v>45523</v>
      </c>
      <c r="B213" s="50">
        <v>1290.0999999999999</v>
      </c>
      <c r="C213" s="50"/>
      <c r="D213" s="49">
        <v>45524</v>
      </c>
      <c r="E213" s="50">
        <v>1287.82</v>
      </c>
      <c r="F213" s="50"/>
      <c r="G213" s="50"/>
      <c r="H213" s="50"/>
      <c r="I213" s="50"/>
      <c r="K213" s="52">
        <v>45505</v>
      </c>
      <c r="L213" s="53">
        <v>1500216.5</v>
      </c>
      <c r="N213" s="49">
        <v>45519</v>
      </c>
      <c r="O213" s="50">
        <v>1490</v>
      </c>
    </row>
    <row r="214" spans="1:15">
      <c r="A214" s="49">
        <v>45520</v>
      </c>
      <c r="B214" s="50">
        <v>1295.3</v>
      </c>
      <c r="C214" s="50"/>
      <c r="D214" s="49">
        <v>45523</v>
      </c>
      <c r="E214" s="50">
        <v>1290.0999999999999</v>
      </c>
      <c r="F214" s="50"/>
      <c r="G214" s="50"/>
      <c r="H214" s="50"/>
      <c r="I214" s="50"/>
      <c r="K214" s="52">
        <v>45504</v>
      </c>
      <c r="L214" s="53">
        <v>1481853.5</v>
      </c>
      <c r="N214" s="49">
        <v>45518</v>
      </c>
      <c r="O214" s="50">
        <v>1515</v>
      </c>
    </row>
    <row r="215" spans="1:15">
      <c r="A215" s="49">
        <v>45519</v>
      </c>
      <c r="B215" s="50">
        <v>1276.21</v>
      </c>
      <c r="C215" s="50"/>
      <c r="D215" s="49">
        <v>45520</v>
      </c>
      <c r="E215" s="50">
        <v>1295.3</v>
      </c>
      <c r="F215" s="50"/>
      <c r="G215" s="50"/>
      <c r="H215" s="50"/>
      <c r="I215" s="50"/>
      <c r="K215" s="52">
        <v>45503</v>
      </c>
      <c r="L215" s="53">
        <v>1411953.38</v>
      </c>
      <c r="N215" s="49">
        <v>45517</v>
      </c>
      <c r="O215" s="50">
        <v>1557</v>
      </c>
    </row>
    <row r="216" spans="1:15">
      <c r="A216" s="49">
        <v>45518</v>
      </c>
      <c r="B216" s="50">
        <v>1268.81</v>
      </c>
      <c r="C216" s="50"/>
      <c r="D216" s="49">
        <v>45519</v>
      </c>
      <c r="E216" s="50">
        <v>1276.21</v>
      </c>
      <c r="F216" s="50"/>
      <c r="G216" s="50"/>
      <c r="H216" s="50"/>
      <c r="I216" s="50"/>
      <c r="K216" s="52">
        <v>45502</v>
      </c>
      <c r="L216" s="53">
        <v>1481241.5</v>
      </c>
      <c r="N216" s="49">
        <v>45516</v>
      </c>
      <c r="O216" s="50">
        <v>1560</v>
      </c>
    </row>
    <row r="217" spans="1:15">
      <c r="A217" s="49">
        <v>45517</v>
      </c>
      <c r="B217" s="50">
        <v>1272.49</v>
      </c>
      <c r="C217" s="50"/>
      <c r="D217" s="49">
        <v>45518</v>
      </c>
      <c r="E217" s="50">
        <v>1268.81</v>
      </c>
      <c r="F217" s="50"/>
      <c r="G217" s="50"/>
      <c r="H217" s="50"/>
      <c r="I217" s="50"/>
      <c r="K217" s="52">
        <v>45499</v>
      </c>
      <c r="L217" s="53">
        <v>1542021.75</v>
      </c>
      <c r="N217" s="49">
        <v>45513</v>
      </c>
      <c r="O217" s="50">
        <v>1558</v>
      </c>
    </row>
    <row r="218" spans="1:15">
      <c r="A218" s="49">
        <v>45516</v>
      </c>
      <c r="B218" s="50">
        <v>1284.3499999999999</v>
      </c>
      <c r="C218" s="50"/>
      <c r="D218" s="49">
        <v>45517</v>
      </c>
      <c r="E218" s="50">
        <v>1272.49</v>
      </c>
      <c r="F218" s="50"/>
      <c r="G218" s="50"/>
      <c r="H218" s="50"/>
      <c r="I218" s="50"/>
      <c r="K218" s="52">
        <v>45498</v>
      </c>
      <c r="L218" s="53">
        <v>1538280</v>
      </c>
      <c r="N218" s="49">
        <v>45512</v>
      </c>
      <c r="O218" s="50">
        <v>1552</v>
      </c>
    </row>
    <row r="219" spans="1:15">
      <c r="A219" s="49">
        <v>45513</v>
      </c>
      <c r="B219" s="50">
        <v>1298.27</v>
      </c>
      <c r="C219" s="50"/>
      <c r="D219" s="49">
        <v>45516</v>
      </c>
      <c r="E219" s="50">
        <v>1284.3499999999999</v>
      </c>
      <c r="F219" s="50"/>
      <c r="G219" s="50"/>
      <c r="H219" s="50"/>
      <c r="I219" s="50"/>
      <c r="K219" s="52">
        <v>45497</v>
      </c>
      <c r="L219" s="53">
        <v>1582112.88</v>
      </c>
      <c r="N219" s="49">
        <v>45511</v>
      </c>
      <c r="O219" s="50">
        <v>1574</v>
      </c>
    </row>
    <row r="220" spans="1:15">
      <c r="A220" s="49">
        <v>45512</v>
      </c>
      <c r="B220" s="50">
        <v>1310.45</v>
      </c>
      <c r="C220" s="50"/>
      <c r="D220" s="49">
        <v>45513</v>
      </c>
      <c r="E220" s="50">
        <v>1298.27</v>
      </c>
      <c r="F220" s="50"/>
      <c r="G220" s="50"/>
      <c r="H220" s="50"/>
      <c r="I220" s="50"/>
      <c r="K220" s="52">
        <v>45496</v>
      </c>
      <c r="L220" s="53">
        <v>1635674.13</v>
      </c>
      <c r="N220" s="49">
        <v>45510</v>
      </c>
      <c r="O220" s="50">
        <v>1625</v>
      </c>
    </row>
    <row r="221" spans="1:15">
      <c r="A221" s="49">
        <v>45511</v>
      </c>
      <c r="B221" s="50">
        <v>1331.95</v>
      </c>
      <c r="C221" s="50"/>
      <c r="D221" s="49">
        <v>45512</v>
      </c>
      <c r="E221" s="50">
        <v>1310.45</v>
      </c>
      <c r="F221" s="50"/>
      <c r="G221" s="50"/>
      <c r="H221" s="50"/>
      <c r="I221" s="50"/>
      <c r="K221" s="52">
        <v>45495</v>
      </c>
      <c r="L221" s="53">
        <v>1590407</v>
      </c>
      <c r="N221" s="49">
        <v>45509</v>
      </c>
      <c r="O221" s="50">
        <v>1653</v>
      </c>
    </row>
    <row r="222" spans="1:15">
      <c r="A222" s="49">
        <v>45510</v>
      </c>
      <c r="B222" s="50">
        <v>1336.4</v>
      </c>
      <c r="C222" s="50"/>
      <c r="D222" s="49">
        <v>45511</v>
      </c>
      <c r="E222" s="50">
        <v>1331.95</v>
      </c>
      <c r="F222" s="50"/>
      <c r="G222" s="50"/>
      <c r="H222" s="50"/>
      <c r="I222" s="50"/>
      <c r="K222" s="52">
        <v>45492</v>
      </c>
      <c r="L222" s="53">
        <v>1569018.75</v>
      </c>
      <c r="N222" s="49">
        <v>45506</v>
      </c>
      <c r="O222" s="50">
        <v>1612</v>
      </c>
    </row>
    <row r="223" spans="1:15">
      <c r="A223" s="49">
        <v>45509</v>
      </c>
      <c r="B223" s="50">
        <v>1346.09</v>
      </c>
      <c r="C223" s="50"/>
      <c r="D223" s="49">
        <v>45510</v>
      </c>
      <c r="E223" s="50">
        <v>1336.4</v>
      </c>
      <c r="F223" s="50"/>
      <c r="G223" s="50"/>
      <c r="H223" s="50"/>
      <c r="I223" s="50"/>
      <c r="K223" s="52">
        <v>45491</v>
      </c>
      <c r="L223" s="53">
        <v>1528790.63</v>
      </c>
      <c r="N223" s="49">
        <v>45505</v>
      </c>
      <c r="O223" s="50">
        <v>1550</v>
      </c>
    </row>
    <row r="224" spans="1:15">
      <c r="A224" s="49">
        <v>45506</v>
      </c>
      <c r="B224" s="50">
        <v>1334.04</v>
      </c>
      <c r="C224" s="50"/>
      <c r="D224" s="49">
        <v>45509</v>
      </c>
      <c r="E224" s="50">
        <v>1346.09</v>
      </c>
      <c r="F224" s="50"/>
      <c r="G224" s="50"/>
      <c r="H224" s="50"/>
      <c r="I224" s="50"/>
      <c r="K224" s="52">
        <v>45490</v>
      </c>
      <c r="L224" s="53">
        <v>1524496.25</v>
      </c>
      <c r="N224" s="49">
        <v>45504</v>
      </c>
      <c r="O224" s="50">
        <v>1507</v>
      </c>
    </row>
    <row r="225" spans="1:15">
      <c r="A225" s="49">
        <v>45505</v>
      </c>
      <c r="B225" s="50">
        <v>1300.1400000000001</v>
      </c>
      <c r="C225" s="50"/>
      <c r="D225" s="49">
        <v>45506</v>
      </c>
      <c r="E225" s="50">
        <v>1334.04</v>
      </c>
      <c r="F225" s="50"/>
      <c r="G225" s="50"/>
      <c r="H225" s="50"/>
      <c r="I225" s="50"/>
      <c r="K225" s="52">
        <v>45489</v>
      </c>
      <c r="L225" s="53">
        <v>1526268.13</v>
      </c>
      <c r="N225" s="49">
        <v>45503</v>
      </c>
      <c r="O225" s="50">
        <v>1556</v>
      </c>
    </row>
    <row r="226" spans="1:15">
      <c r="A226" s="49">
        <v>45504</v>
      </c>
      <c r="B226" s="50">
        <v>1293.33</v>
      </c>
      <c r="C226" s="50"/>
      <c r="D226" s="49">
        <v>45505</v>
      </c>
      <c r="E226" s="50">
        <v>1300.1400000000001</v>
      </c>
      <c r="F226" s="50"/>
      <c r="G226" s="50"/>
      <c r="H226" s="50"/>
      <c r="I226" s="50"/>
      <c r="K226" s="52">
        <v>45488</v>
      </c>
      <c r="L226" s="53">
        <v>1504984</v>
      </c>
      <c r="N226" s="49">
        <v>45502</v>
      </c>
      <c r="O226" s="50">
        <v>1553</v>
      </c>
    </row>
    <row r="227" spans="1:15">
      <c r="A227" s="49">
        <v>45503</v>
      </c>
      <c r="B227" s="50">
        <v>1267.95</v>
      </c>
      <c r="C227" s="50"/>
      <c r="D227" s="49">
        <v>45504</v>
      </c>
      <c r="E227" s="50">
        <v>1293.33</v>
      </c>
      <c r="F227" s="50"/>
      <c r="G227" s="50"/>
      <c r="H227" s="50"/>
      <c r="I227" s="50"/>
      <c r="K227" s="52">
        <v>45485</v>
      </c>
      <c r="L227" s="53">
        <v>1715610</v>
      </c>
      <c r="N227" s="49">
        <v>45499</v>
      </c>
      <c r="O227" s="50">
        <v>1562</v>
      </c>
    </row>
    <row r="228" spans="1:15">
      <c r="A228" s="49">
        <v>45502</v>
      </c>
      <c r="B228" s="50">
        <v>1296.57</v>
      </c>
      <c r="C228" s="50"/>
      <c r="D228" s="49">
        <v>45503</v>
      </c>
      <c r="E228" s="50">
        <v>1267.95</v>
      </c>
      <c r="F228" s="50"/>
      <c r="G228" s="50"/>
      <c r="H228" s="50"/>
      <c r="I228" s="50"/>
      <c r="K228" s="52">
        <v>45484</v>
      </c>
      <c r="L228" s="53">
        <v>1705676.5</v>
      </c>
      <c r="N228" s="49">
        <v>45498</v>
      </c>
      <c r="O228" s="50">
        <v>1589</v>
      </c>
    </row>
    <row r="229" spans="1:15">
      <c r="A229" s="49">
        <v>45499</v>
      </c>
      <c r="B229" s="50">
        <v>1323.15</v>
      </c>
      <c r="C229" s="50"/>
      <c r="D229" s="49">
        <v>45502</v>
      </c>
      <c r="E229" s="50">
        <v>1296.57</v>
      </c>
      <c r="F229" s="50"/>
      <c r="G229" s="50"/>
      <c r="H229" s="50"/>
      <c r="I229" s="50"/>
      <c r="K229" s="52">
        <v>45483</v>
      </c>
      <c r="L229" s="53">
        <v>1690009</v>
      </c>
      <c r="N229" s="49">
        <v>45497</v>
      </c>
      <c r="O229" s="50">
        <v>1577</v>
      </c>
    </row>
    <row r="230" spans="1:15">
      <c r="A230" s="49">
        <v>45498</v>
      </c>
      <c r="B230" s="50">
        <v>1332.77</v>
      </c>
      <c r="C230" s="50"/>
      <c r="D230" s="49">
        <v>45499</v>
      </c>
      <c r="E230" s="50">
        <v>1323.15</v>
      </c>
      <c r="F230" s="50"/>
      <c r="G230" s="50"/>
      <c r="H230" s="50"/>
      <c r="I230" s="50"/>
      <c r="K230" s="52">
        <v>45481</v>
      </c>
      <c r="L230" s="53">
        <v>1643221.13</v>
      </c>
      <c r="N230" s="49">
        <v>45496</v>
      </c>
      <c r="O230" s="50">
        <v>1551</v>
      </c>
    </row>
    <row r="231" spans="1:15">
      <c r="A231" s="49">
        <v>45497</v>
      </c>
      <c r="B231" s="50">
        <v>1337.51</v>
      </c>
      <c r="C231" s="50"/>
      <c r="D231" s="49">
        <v>45498</v>
      </c>
      <c r="E231" s="50">
        <v>1332.77</v>
      </c>
      <c r="F231" s="50"/>
      <c r="G231" s="50"/>
      <c r="H231" s="50"/>
      <c r="I231" s="50"/>
      <c r="K231" s="52">
        <v>45478</v>
      </c>
      <c r="L231" s="53">
        <v>1629029.5</v>
      </c>
      <c r="N231" s="49">
        <v>45495</v>
      </c>
      <c r="O231" s="50">
        <v>1570</v>
      </c>
    </row>
    <row r="232" spans="1:15">
      <c r="A232" s="49">
        <v>45496</v>
      </c>
      <c r="B232" s="50">
        <v>1324.96</v>
      </c>
      <c r="C232" s="50"/>
      <c r="D232" s="49">
        <v>45497</v>
      </c>
      <c r="E232" s="50">
        <v>1337.51</v>
      </c>
      <c r="F232" s="50"/>
      <c r="G232" s="50"/>
      <c r="H232" s="50"/>
      <c r="I232" s="50"/>
      <c r="K232" s="52">
        <v>45477</v>
      </c>
      <c r="L232" s="53">
        <v>1612744.63</v>
      </c>
      <c r="N232" s="49">
        <v>45492</v>
      </c>
      <c r="O232" s="50">
        <v>1590</v>
      </c>
    </row>
    <row r="233" spans="1:15">
      <c r="A233" s="49">
        <v>45495</v>
      </c>
      <c r="B233" s="50">
        <v>1333.37</v>
      </c>
      <c r="C233" s="50"/>
      <c r="D233" s="49">
        <v>45496</v>
      </c>
      <c r="E233" s="50">
        <v>1324.96</v>
      </c>
      <c r="F233" s="50"/>
      <c r="G233" s="50"/>
      <c r="H233" s="50"/>
      <c r="I233" s="50"/>
      <c r="K233" s="52">
        <v>45476</v>
      </c>
      <c r="L233" s="53">
        <v>1603517</v>
      </c>
      <c r="N233" s="49">
        <v>45491</v>
      </c>
      <c r="O233" s="50">
        <v>1587</v>
      </c>
    </row>
    <row r="234" spans="1:15">
      <c r="A234" s="49">
        <v>45492</v>
      </c>
      <c r="B234" s="50">
        <v>1331.7</v>
      </c>
      <c r="C234" s="50"/>
      <c r="D234" s="49">
        <v>45495</v>
      </c>
      <c r="E234" s="50">
        <v>1333.37</v>
      </c>
      <c r="F234" s="50"/>
      <c r="G234" s="50"/>
      <c r="H234" s="50"/>
      <c r="I234" s="50"/>
      <c r="K234" s="52">
        <v>45475</v>
      </c>
      <c r="L234" s="53">
        <v>1636391.13</v>
      </c>
      <c r="N234" s="49">
        <v>45490</v>
      </c>
      <c r="O234" s="50">
        <v>1593</v>
      </c>
    </row>
    <row r="235" spans="1:15">
      <c r="A235" s="49">
        <v>45491</v>
      </c>
      <c r="B235" s="50">
        <v>1315.29</v>
      </c>
      <c r="C235" s="50"/>
      <c r="D235" s="49">
        <v>45492</v>
      </c>
      <c r="E235" s="50">
        <v>1331.7</v>
      </c>
      <c r="F235" s="50"/>
      <c r="G235" s="50"/>
      <c r="H235" s="50"/>
      <c r="I235" s="50"/>
      <c r="K235" s="52">
        <v>45474</v>
      </c>
      <c r="L235" s="53">
        <v>1594732.88</v>
      </c>
      <c r="N235" s="49">
        <v>45489</v>
      </c>
      <c r="O235" s="50">
        <v>1584</v>
      </c>
    </row>
    <row r="236" spans="1:15">
      <c r="A236" s="49">
        <v>45490</v>
      </c>
      <c r="B236" s="50">
        <v>1300</v>
      </c>
      <c r="C236" s="50"/>
      <c r="D236" s="49">
        <v>45491</v>
      </c>
      <c r="E236" s="50">
        <v>1315.29</v>
      </c>
      <c r="F236" s="50"/>
      <c r="G236" s="50"/>
      <c r="H236" s="50"/>
      <c r="I236" s="50"/>
      <c r="K236" s="52">
        <v>45471</v>
      </c>
      <c r="L236" s="53">
        <v>1611295.13</v>
      </c>
      <c r="N236" s="49">
        <v>45488</v>
      </c>
      <c r="O236" s="50">
        <v>1555</v>
      </c>
    </row>
    <row r="237" spans="1:15">
      <c r="A237" s="49">
        <v>45489</v>
      </c>
      <c r="B237" s="50">
        <v>1278.94</v>
      </c>
      <c r="C237" s="50"/>
      <c r="D237" s="49">
        <v>45490</v>
      </c>
      <c r="E237" s="50">
        <v>1300</v>
      </c>
      <c r="F237" s="50"/>
      <c r="G237" s="50"/>
      <c r="H237" s="50"/>
      <c r="I237" s="50"/>
      <c r="K237" s="52">
        <v>45470</v>
      </c>
      <c r="L237" s="53">
        <v>1635667.38</v>
      </c>
      <c r="N237" s="49">
        <v>45485</v>
      </c>
      <c r="O237" s="50">
        <v>1511</v>
      </c>
    </row>
    <row r="238" spans="1:15">
      <c r="A238" s="49">
        <v>45488</v>
      </c>
      <c r="B238" s="50">
        <v>1307.54</v>
      </c>
      <c r="C238" s="50"/>
      <c r="D238" s="49">
        <v>45489</v>
      </c>
      <c r="E238" s="50">
        <v>1278.94</v>
      </c>
      <c r="F238" s="50"/>
      <c r="G238" s="50"/>
      <c r="H238" s="50"/>
      <c r="I238" s="50"/>
      <c r="K238" s="52">
        <v>45469</v>
      </c>
      <c r="L238" s="53">
        <v>1574472.25</v>
      </c>
      <c r="N238" s="49">
        <v>45484</v>
      </c>
      <c r="O238" s="50">
        <v>1473</v>
      </c>
    </row>
    <row r="239" spans="1:15">
      <c r="A239" s="49">
        <v>45485</v>
      </c>
      <c r="B239" s="50">
        <v>1416.22</v>
      </c>
      <c r="C239" s="50"/>
      <c r="D239" s="49">
        <v>45488</v>
      </c>
      <c r="E239" s="50">
        <v>1307.54</v>
      </c>
      <c r="F239" s="50"/>
      <c r="G239" s="50"/>
      <c r="H239" s="50"/>
      <c r="I239" s="50"/>
      <c r="K239" s="52">
        <v>45468</v>
      </c>
      <c r="L239" s="53">
        <v>1570620.25</v>
      </c>
      <c r="N239" s="49">
        <v>45483</v>
      </c>
      <c r="O239" s="50">
        <v>1477</v>
      </c>
    </row>
    <row r="240" spans="1:15">
      <c r="A240" s="49">
        <v>45484</v>
      </c>
      <c r="B240" s="50">
        <v>1403.33</v>
      </c>
      <c r="C240" s="50"/>
      <c r="D240" s="49">
        <v>45485</v>
      </c>
      <c r="E240" s="50">
        <v>1416.22</v>
      </c>
      <c r="F240" s="50"/>
      <c r="G240" s="50"/>
      <c r="H240" s="50"/>
      <c r="I240" s="50"/>
      <c r="K240" s="52">
        <v>45467</v>
      </c>
      <c r="L240" s="53">
        <v>1559667.38</v>
      </c>
      <c r="N240" s="49">
        <v>45482</v>
      </c>
      <c r="O240" s="50">
        <v>1491</v>
      </c>
    </row>
    <row r="241" spans="1:15">
      <c r="A241" s="49">
        <v>45483</v>
      </c>
      <c r="B241" s="50">
        <v>1377.39</v>
      </c>
      <c r="C241" s="50"/>
      <c r="D241" s="49">
        <v>45484</v>
      </c>
      <c r="E241" s="50">
        <v>1403.33</v>
      </c>
      <c r="F241" s="50"/>
      <c r="G241" s="50"/>
      <c r="H241" s="50"/>
      <c r="I241" s="50"/>
      <c r="K241" s="52">
        <v>45462</v>
      </c>
      <c r="L241" s="53">
        <v>1576462.38</v>
      </c>
      <c r="N241" s="49">
        <v>45481</v>
      </c>
      <c r="O241" s="50">
        <v>1496</v>
      </c>
    </row>
    <row r="242" spans="1:15">
      <c r="A242" s="49">
        <v>45482</v>
      </c>
      <c r="B242" s="50">
        <v>1386.86</v>
      </c>
      <c r="C242" s="50"/>
      <c r="D242" s="49">
        <v>45483</v>
      </c>
      <c r="E242" s="50">
        <v>1377.39</v>
      </c>
      <c r="F242" s="50"/>
      <c r="G242" s="50"/>
      <c r="H242" s="50"/>
      <c r="I242" s="50"/>
      <c r="K242" s="52">
        <v>45461</v>
      </c>
      <c r="L242" s="53">
        <v>1557429.63</v>
      </c>
      <c r="N242" s="49">
        <v>45478</v>
      </c>
      <c r="O242" s="50">
        <v>1406</v>
      </c>
    </row>
    <row r="243" spans="1:15">
      <c r="A243" s="49">
        <v>45481</v>
      </c>
      <c r="B243" s="50">
        <v>1386.86</v>
      </c>
      <c r="C243" s="50"/>
      <c r="D243" s="49">
        <v>45482</v>
      </c>
      <c r="E243" s="50">
        <v>1386.86</v>
      </c>
      <c r="F243" s="50"/>
      <c r="G243" s="50"/>
      <c r="H243" s="50"/>
      <c r="I243" s="50"/>
      <c r="K243" s="52">
        <v>45457</v>
      </c>
      <c r="L243" s="53">
        <v>1582372</v>
      </c>
      <c r="N243" s="49">
        <v>45477</v>
      </c>
      <c r="O243" s="50">
        <v>1523</v>
      </c>
    </row>
    <row r="244" spans="1:15">
      <c r="A244" s="49">
        <v>45478</v>
      </c>
      <c r="B244" s="50">
        <v>1396.24</v>
      </c>
      <c r="C244" s="50"/>
      <c r="D244" s="49">
        <v>45481</v>
      </c>
      <c r="E244" s="50">
        <v>1386.86</v>
      </c>
      <c r="F244" s="50"/>
      <c r="G244" s="50"/>
      <c r="H244" s="50"/>
      <c r="I244" s="50"/>
      <c r="K244" s="52">
        <v>45456</v>
      </c>
      <c r="L244" s="53">
        <v>1605208.38</v>
      </c>
      <c r="N244" s="49">
        <v>45476</v>
      </c>
      <c r="O244" s="50">
        <v>1521</v>
      </c>
    </row>
    <row r="245" spans="1:15">
      <c r="A245" s="49">
        <v>45477</v>
      </c>
      <c r="B245" s="50">
        <v>1395.68</v>
      </c>
      <c r="C245" s="50"/>
      <c r="D245" s="49">
        <v>45478</v>
      </c>
      <c r="E245" s="50">
        <v>1396.24</v>
      </c>
      <c r="F245" s="50"/>
      <c r="G245" s="50"/>
      <c r="H245" s="50"/>
      <c r="I245" s="50"/>
      <c r="K245" s="52">
        <v>45455</v>
      </c>
      <c r="L245" s="53">
        <v>1568096.38</v>
      </c>
      <c r="N245" s="49">
        <v>45475</v>
      </c>
      <c r="O245" s="50">
        <v>1536</v>
      </c>
    </row>
    <row r="246" spans="1:15">
      <c r="A246" s="49">
        <v>45476</v>
      </c>
      <c r="B246" s="50">
        <v>1382.5</v>
      </c>
      <c r="C246" s="50"/>
      <c r="D246" s="49">
        <v>45477</v>
      </c>
      <c r="E246" s="50">
        <v>1395.68</v>
      </c>
      <c r="F246" s="50"/>
      <c r="G246" s="50"/>
      <c r="H246" s="50"/>
      <c r="I246" s="50"/>
      <c r="K246" s="52">
        <v>45454</v>
      </c>
      <c r="L246" s="53">
        <v>1544869.25</v>
      </c>
      <c r="N246" s="49">
        <v>45474</v>
      </c>
      <c r="O246" s="50">
        <v>1513</v>
      </c>
    </row>
    <row r="247" spans="1:15">
      <c r="A247" s="49">
        <v>45475</v>
      </c>
      <c r="B247" s="50">
        <v>1428.46</v>
      </c>
      <c r="C247" s="50"/>
      <c r="D247" s="49">
        <v>45476</v>
      </c>
      <c r="E247" s="50">
        <v>1382.5</v>
      </c>
      <c r="F247" s="50"/>
      <c r="G247" s="50"/>
      <c r="H247" s="50"/>
      <c r="I247" s="50"/>
      <c r="K247" s="52">
        <v>45453</v>
      </c>
      <c r="L247" s="53">
        <v>1576628.38</v>
      </c>
      <c r="N247" s="49">
        <v>45471</v>
      </c>
      <c r="O247" s="50">
        <v>1456</v>
      </c>
    </row>
    <row r="248" spans="1:15">
      <c r="A248" s="49">
        <v>45474</v>
      </c>
      <c r="B248" s="50">
        <v>1413.01</v>
      </c>
      <c r="C248" s="50"/>
      <c r="D248" s="49">
        <v>45475</v>
      </c>
      <c r="E248" s="50">
        <v>1428.46</v>
      </c>
      <c r="F248" s="50"/>
      <c r="G248" s="50"/>
      <c r="H248" s="50"/>
      <c r="I248" s="50"/>
      <c r="K248" s="52">
        <v>45450</v>
      </c>
      <c r="L248" s="53">
        <v>1519209.13</v>
      </c>
      <c r="N248" s="49">
        <v>45470</v>
      </c>
      <c r="O248" s="50">
        <v>1445</v>
      </c>
    </row>
    <row r="249" spans="1:15">
      <c r="A249" s="49">
        <v>45471</v>
      </c>
      <c r="B249" s="50">
        <v>1347.96</v>
      </c>
      <c r="C249" s="50"/>
      <c r="D249" s="49">
        <v>45474</v>
      </c>
      <c r="E249" s="50">
        <v>1413.01</v>
      </c>
      <c r="F249" s="50"/>
      <c r="G249" s="50"/>
      <c r="H249" s="50"/>
      <c r="I249" s="50"/>
      <c r="K249" s="52">
        <v>45449</v>
      </c>
      <c r="L249" s="53">
        <v>1503728.38</v>
      </c>
      <c r="N249" s="49">
        <v>45469</v>
      </c>
      <c r="O249" s="50">
        <v>1429</v>
      </c>
    </row>
    <row r="250" spans="1:15">
      <c r="A250" s="49">
        <v>45470</v>
      </c>
      <c r="B250" s="50">
        <v>1331.96</v>
      </c>
      <c r="C250" s="50"/>
      <c r="D250" s="49">
        <v>45471</v>
      </c>
      <c r="E250" s="50">
        <v>1347.96</v>
      </c>
      <c r="F250" s="50"/>
      <c r="G250" s="50"/>
      <c r="H250" s="50"/>
      <c r="I250" s="50"/>
      <c r="N250" s="49">
        <v>45468</v>
      </c>
      <c r="O250" s="50">
        <v>1440</v>
      </c>
    </row>
    <row r="251" spans="1:15">
      <c r="A251" s="49">
        <v>45469</v>
      </c>
      <c r="B251" s="50">
        <v>1332.13</v>
      </c>
      <c r="C251" s="50"/>
      <c r="D251" s="49">
        <v>45470</v>
      </c>
      <c r="E251" s="50">
        <v>1331.96</v>
      </c>
      <c r="F251" s="50"/>
      <c r="G251" s="50"/>
      <c r="H251" s="50"/>
      <c r="I251" s="50"/>
      <c r="N251" s="49">
        <v>45467</v>
      </c>
      <c r="O251" s="50">
        <v>1443</v>
      </c>
    </row>
    <row r="252" spans="1:15">
      <c r="A252" s="49">
        <v>45468</v>
      </c>
      <c r="B252" s="50">
        <v>1308.99</v>
      </c>
      <c r="C252" s="50"/>
      <c r="D252" s="49">
        <v>45469</v>
      </c>
      <c r="E252" s="50">
        <v>1332.13</v>
      </c>
      <c r="F252" s="50"/>
      <c r="G252" s="50"/>
      <c r="H252" s="50"/>
      <c r="I252" s="50"/>
      <c r="N252" s="49">
        <v>45464</v>
      </c>
      <c r="O252" s="50">
        <v>1420</v>
      </c>
    </row>
    <row r="253" spans="1:15">
      <c r="A253" s="49">
        <v>45467</v>
      </c>
      <c r="B253" s="50">
        <v>1295.22</v>
      </c>
      <c r="C253" s="50"/>
      <c r="D253" s="49">
        <v>45468</v>
      </c>
      <c r="E253" s="50">
        <v>1308.99</v>
      </c>
      <c r="F253" s="50"/>
      <c r="G253" s="50"/>
      <c r="H253" s="50"/>
      <c r="I253" s="50"/>
      <c r="N253" s="49">
        <v>45463</v>
      </c>
      <c r="O253" s="50">
        <v>1402</v>
      </c>
    </row>
    <row r="254" spans="1:15">
      <c r="A254" s="49">
        <v>45464</v>
      </c>
      <c r="B254" s="50">
        <v>1273.81</v>
      </c>
      <c r="C254" s="50"/>
      <c r="D254" s="49">
        <v>45467</v>
      </c>
      <c r="E254" s="50">
        <v>1295.22</v>
      </c>
      <c r="F254" s="50"/>
      <c r="G254" s="50"/>
      <c r="H254" s="50"/>
      <c r="I254" s="50"/>
      <c r="N254" s="49">
        <v>45462</v>
      </c>
      <c r="O254" s="50">
        <v>1384</v>
      </c>
    </row>
    <row r="255" spans="1:15">
      <c r="A255" s="49">
        <v>45463</v>
      </c>
      <c r="B255" s="50">
        <v>1273.81</v>
      </c>
      <c r="C255" s="50"/>
      <c r="D255" s="49">
        <v>45464</v>
      </c>
      <c r="E255" s="50">
        <v>1273.81</v>
      </c>
      <c r="F255" s="50"/>
      <c r="G255" s="50"/>
      <c r="H255" s="50"/>
      <c r="I255" s="50"/>
      <c r="N255" s="49">
        <v>45461</v>
      </c>
      <c r="O255" s="50">
        <v>1385</v>
      </c>
    </row>
    <row r="256" spans="1:15">
      <c r="A256" s="49">
        <v>45462</v>
      </c>
      <c r="B256" s="50">
        <v>1273.81</v>
      </c>
      <c r="C256" s="50"/>
      <c r="D256" s="49">
        <v>45463</v>
      </c>
      <c r="E256" s="50">
        <v>1273.81</v>
      </c>
      <c r="F256" s="50"/>
      <c r="G256" s="50"/>
      <c r="H256" s="50"/>
      <c r="I256" s="50"/>
      <c r="N256" s="49">
        <v>45460</v>
      </c>
      <c r="O256" s="50">
        <v>1382</v>
      </c>
    </row>
    <row r="257" spans="1:15">
      <c r="A257" s="49">
        <v>45461</v>
      </c>
      <c r="B257" s="50">
        <v>1245.49</v>
      </c>
      <c r="C257" s="50"/>
      <c r="D257" s="49">
        <v>45462</v>
      </c>
      <c r="E257" s="50">
        <v>1273.81</v>
      </c>
      <c r="F257" s="50"/>
      <c r="G257" s="50"/>
      <c r="H257" s="50"/>
      <c r="I257" s="50"/>
      <c r="N257" s="49">
        <v>45457</v>
      </c>
      <c r="O257" s="50">
        <v>1382</v>
      </c>
    </row>
    <row r="258" spans="1:15">
      <c r="A258" s="49">
        <v>45460</v>
      </c>
      <c r="B258" s="50">
        <v>1244.6400000000001</v>
      </c>
      <c r="C258" s="50"/>
      <c r="D258" s="49">
        <v>45461</v>
      </c>
      <c r="E258" s="50">
        <v>1245.49</v>
      </c>
      <c r="F258" s="50"/>
      <c r="G258" s="50"/>
      <c r="H258" s="50"/>
      <c r="I258" s="50"/>
      <c r="N258" s="49">
        <v>45456</v>
      </c>
      <c r="O258" s="50">
        <v>1421</v>
      </c>
    </row>
    <row r="259" spans="1:15">
      <c r="A259" s="49">
        <v>45457</v>
      </c>
      <c r="B259" s="50">
        <v>1244.6400000000001</v>
      </c>
      <c r="C259" s="50"/>
      <c r="D259" s="49">
        <v>45460</v>
      </c>
      <c r="E259" s="50">
        <v>1244.6400000000001</v>
      </c>
      <c r="F259" s="50"/>
      <c r="G259" s="50"/>
      <c r="H259" s="50"/>
      <c r="I259" s="50"/>
      <c r="N259" s="49">
        <v>45455</v>
      </c>
      <c r="O259" s="50">
        <v>1484</v>
      </c>
    </row>
    <row r="260" spans="1:15">
      <c r="A260" s="49">
        <v>45456</v>
      </c>
      <c r="B260" s="50">
        <v>1241.0999999999999</v>
      </c>
      <c r="C260" s="50"/>
      <c r="D260" s="49">
        <v>45457</v>
      </c>
      <c r="E260" s="50">
        <v>1244.6400000000001</v>
      </c>
      <c r="F260" s="50"/>
      <c r="G260" s="50"/>
      <c r="H260" s="50"/>
      <c r="I260" s="50"/>
      <c r="N260" s="49">
        <v>45454</v>
      </c>
      <c r="O260" s="50">
        <v>1525</v>
      </c>
    </row>
    <row r="261" spans="1:15">
      <c r="A261" s="49">
        <v>45455</v>
      </c>
      <c r="B261" s="50">
        <v>1278.94</v>
      </c>
      <c r="C261" s="50"/>
      <c r="D261" s="49">
        <v>45456</v>
      </c>
      <c r="E261" s="50">
        <v>1241.0999999999999</v>
      </c>
      <c r="F261" s="50"/>
      <c r="G261" s="50"/>
      <c r="H261" s="50"/>
      <c r="I261" s="50"/>
      <c r="N261" s="49">
        <v>45453</v>
      </c>
      <c r="O261" s="50">
        <v>1488</v>
      </c>
    </row>
    <row r="262" spans="1:15">
      <c r="A262" s="49">
        <v>45454</v>
      </c>
      <c r="B262" s="50">
        <v>1273.9000000000001</v>
      </c>
      <c r="C262" s="50"/>
      <c r="D262" s="49">
        <v>45455</v>
      </c>
      <c r="E262" s="50">
        <v>1278.94</v>
      </c>
      <c r="F262" s="50"/>
      <c r="G262" s="50"/>
      <c r="H262" s="50"/>
      <c r="I262" s="50"/>
      <c r="N262" s="49">
        <v>45450</v>
      </c>
      <c r="O262" s="50">
        <v>1582</v>
      </c>
    </row>
    <row r="263" spans="1:15">
      <c r="A263" s="49">
        <v>45453</v>
      </c>
      <c r="B263" s="50">
        <v>1272.6300000000001</v>
      </c>
      <c r="C263" s="50"/>
      <c r="D263" s="49">
        <v>45454</v>
      </c>
      <c r="E263" s="50">
        <v>1273.9000000000001</v>
      </c>
      <c r="F263" s="50"/>
      <c r="G263" s="50"/>
      <c r="H263" s="50"/>
      <c r="I263" s="50"/>
      <c r="N263" s="49">
        <v>45449</v>
      </c>
      <c r="O263" s="50">
        <v>1596</v>
      </c>
    </row>
    <row r="264" spans="1:15">
      <c r="A264" s="49">
        <v>45450</v>
      </c>
      <c r="B264" s="50">
        <v>1282.33</v>
      </c>
      <c r="C264" s="50"/>
      <c r="D264" s="49">
        <v>45453</v>
      </c>
      <c r="E264" s="50">
        <v>1272.6300000000001</v>
      </c>
      <c r="F264" s="50"/>
      <c r="G264" s="50"/>
      <c r="H264" s="50"/>
      <c r="I264" s="50"/>
    </row>
    <row r="265" spans="1:15">
      <c r="A265" s="49">
        <v>45449</v>
      </c>
      <c r="B265" s="50">
        <v>1272.01</v>
      </c>
      <c r="C265" s="50"/>
      <c r="D265" s="49">
        <v>45450</v>
      </c>
      <c r="E265" s="50">
        <v>1282.33</v>
      </c>
      <c r="F265" s="50"/>
      <c r="G265" s="50"/>
      <c r="H265" s="50"/>
      <c r="I265" s="50"/>
    </row>
    <row r="266" spans="1:15">
      <c r="D266" s="49">
        <v>45449</v>
      </c>
      <c r="E266" s="50">
        <v>1272.01</v>
      </c>
      <c r="F266" s="50"/>
      <c r="G266" s="50"/>
      <c r="H266" s="50"/>
      <c r="I266" s="50"/>
    </row>
    <row r="267" spans="1:15">
      <c r="D267" s="49">
        <v>45448</v>
      </c>
      <c r="E267" s="50">
        <v>1283.0899999999999</v>
      </c>
      <c r="F267" s="50"/>
      <c r="G267" s="50"/>
      <c r="H267" s="50"/>
      <c r="I267" s="50"/>
    </row>
    <row r="268" spans="1:15">
      <c r="D268" s="49">
        <v>45447</v>
      </c>
      <c r="E268" s="50">
        <v>1280.8</v>
      </c>
      <c r="F268" s="50"/>
      <c r="G268" s="50"/>
      <c r="H268" s="50"/>
      <c r="I268" s="50"/>
    </row>
    <row r="269" spans="1:15">
      <c r="D269" s="49">
        <v>45446</v>
      </c>
      <c r="E269" s="50">
        <v>1269.9100000000001</v>
      </c>
      <c r="F269" s="50"/>
      <c r="G269" s="50"/>
      <c r="H269" s="50"/>
      <c r="I269" s="50"/>
    </row>
    <row r="270" spans="1:15">
      <c r="D270" s="49">
        <v>45443</v>
      </c>
      <c r="E270" s="50">
        <v>1215.93</v>
      </c>
      <c r="F270" s="50"/>
      <c r="G270" s="50"/>
      <c r="H270" s="50"/>
      <c r="I270" s="50"/>
    </row>
    <row r="271" spans="1:15">
      <c r="D271" s="49">
        <v>45442</v>
      </c>
      <c r="E271" s="50">
        <v>1182.71</v>
      </c>
      <c r="F271" s="50"/>
      <c r="G271" s="50"/>
      <c r="H271" s="50"/>
      <c r="I271" s="50"/>
    </row>
    <row r="272" spans="1:15">
      <c r="D272" s="49">
        <v>45441</v>
      </c>
      <c r="E272" s="50">
        <v>1177.1400000000001</v>
      </c>
      <c r="F272" s="50"/>
      <c r="G272" s="50"/>
      <c r="H272" s="50"/>
      <c r="I272" s="50"/>
    </row>
    <row r="273" spans="4:9">
      <c r="D273" s="49">
        <v>45440</v>
      </c>
      <c r="E273" s="50">
        <v>1200.9000000000001</v>
      </c>
      <c r="F273" s="50"/>
      <c r="G273" s="50"/>
      <c r="H273" s="50"/>
      <c r="I273" s="50"/>
    </row>
    <row r="274" spans="4:9">
      <c r="D274" s="49">
        <v>45439</v>
      </c>
      <c r="E274" s="50">
        <v>1228.18</v>
      </c>
      <c r="F274" s="50"/>
      <c r="G274" s="50"/>
      <c r="H274" s="50"/>
      <c r="I274" s="50"/>
    </row>
    <row r="275" spans="4:9">
      <c r="D275" s="49">
        <v>45436</v>
      </c>
      <c r="E275" s="50">
        <v>1205.73</v>
      </c>
      <c r="F275" s="50"/>
      <c r="G275" s="50"/>
      <c r="H275" s="50"/>
      <c r="I275" s="50"/>
    </row>
    <row r="276" spans="4:9">
      <c r="D276" s="49">
        <v>45435</v>
      </c>
      <c r="E276" s="50">
        <v>1234.4000000000001</v>
      </c>
      <c r="F276" s="50"/>
      <c r="G276" s="50"/>
      <c r="H276" s="50"/>
      <c r="I276" s="50"/>
    </row>
    <row r="277" spans="4:9">
      <c r="D277" s="49">
        <v>45434</v>
      </c>
      <c r="E277" s="50">
        <v>1230.5999999999999</v>
      </c>
      <c r="F277" s="50"/>
      <c r="G277" s="50"/>
      <c r="H277" s="50"/>
      <c r="I277" s="50"/>
    </row>
    <row r="278" spans="4:9">
      <c r="D278" s="49">
        <v>45433</v>
      </c>
      <c r="E278" s="50">
        <v>1170.28</v>
      </c>
      <c r="F278" s="50"/>
      <c r="G278" s="50"/>
      <c r="H278" s="50"/>
      <c r="I278" s="50"/>
    </row>
    <row r="279" spans="4:9">
      <c r="D279" s="49">
        <v>45432</v>
      </c>
      <c r="E279" s="50">
        <v>1106.22</v>
      </c>
      <c r="F279" s="50"/>
      <c r="G279" s="50"/>
      <c r="H279" s="50"/>
      <c r="I279" s="50"/>
    </row>
    <row r="280" spans="4:9">
      <c r="D280" s="49">
        <v>45429</v>
      </c>
      <c r="E280" s="50">
        <v>1071.1199999999999</v>
      </c>
      <c r="F280" s="50"/>
      <c r="G280" s="50"/>
      <c r="H280" s="50"/>
      <c r="I280" s="50"/>
    </row>
    <row r="281" spans="4:9">
      <c r="D281" s="49">
        <v>45428</v>
      </c>
      <c r="E281" s="50">
        <v>1062.25</v>
      </c>
      <c r="F281" s="50"/>
      <c r="G281" s="50"/>
      <c r="H281" s="50"/>
      <c r="I281" s="50"/>
    </row>
    <row r="282" spans="4:9">
      <c r="D282" s="49">
        <v>45427</v>
      </c>
      <c r="E282" s="50">
        <v>1050.33</v>
      </c>
      <c r="F282" s="50"/>
      <c r="G282" s="50"/>
      <c r="H282" s="50"/>
      <c r="I282" s="50"/>
    </row>
    <row r="283" spans="4:9">
      <c r="D283" s="49">
        <v>45426</v>
      </c>
      <c r="E283" s="50">
        <v>1041.6500000000001</v>
      </c>
      <c r="F283" s="50"/>
      <c r="G283" s="50"/>
      <c r="H283" s="50"/>
      <c r="I283" s="50"/>
    </row>
    <row r="284" spans="4:9">
      <c r="D284" s="49">
        <v>45425</v>
      </c>
      <c r="E284" s="50">
        <v>1034.8900000000001</v>
      </c>
      <c r="F284" s="50"/>
      <c r="G284" s="50"/>
      <c r="H284" s="50"/>
      <c r="I284" s="50"/>
    </row>
    <row r="285" spans="4:9">
      <c r="D285" s="49">
        <v>45422</v>
      </c>
      <c r="E285" s="50">
        <v>1035.73</v>
      </c>
      <c r="F285" s="50"/>
      <c r="G285" s="50"/>
      <c r="H285" s="50"/>
      <c r="I285" s="50"/>
    </row>
    <row r="286" spans="4:9">
      <c r="D286" s="49">
        <v>45421</v>
      </c>
      <c r="E286" s="50">
        <v>1046.02</v>
      </c>
      <c r="F286" s="50"/>
      <c r="G286" s="50"/>
      <c r="H286" s="50"/>
      <c r="I286" s="50"/>
    </row>
    <row r="287" spans="4:9">
      <c r="D287" s="49">
        <v>45420</v>
      </c>
      <c r="E287" s="50">
        <v>1038.77</v>
      </c>
      <c r="F287" s="50"/>
      <c r="G287" s="50"/>
      <c r="H287" s="50"/>
      <c r="I287" s="50"/>
    </row>
    <row r="288" spans="4:9">
      <c r="D288" s="49">
        <v>45419</v>
      </c>
      <c r="E288" s="50">
        <v>1048.49</v>
      </c>
      <c r="F288" s="50"/>
      <c r="G288" s="50"/>
      <c r="H288" s="50"/>
      <c r="I288" s="50"/>
    </row>
    <row r="289" spans="4:9">
      <c r="D289" s="49">
        <v>45418</v>
      </c>
      <c r="E289" s="50">
        <v>1064.47</v>
      </c>
      <c r="F289" s="50"/>
      <c r="G289" s="50"/>
      <c r="H289" s="50"/>
      <c r="I289" s="50"/>
    </row>
    <row r="290" spans="4:9">
      <c r="D290" s="49">
        <v>45415</v>
      </c>
      <c r="E290" s="50">
        <v>1072.6400000000001</v>
      </c>
      <c r="F290" s="50"/>
      <c r="G290" s="50"/>
      <c r="H290" s="50"/>
      <c r="I290" s="50"/>
    </row>
    <row r="291" spans="4:9">
      <c r="D291" s="49">
        <v>45414</v>
      </c>
      <c r="E291" s="50">
        <v>1064.56</v>
      </c>
      <c r="F291" s="50"/>
      <c r="G291" s="50"/>
      <c r="H291" s="50"/>
      <c r="I291" s="50"/>
    </row>
    <row r="292" spans="4:9">
      <c r="D292" s="49">
        <v>45413</v>
      </c>
      <c r="E292" s="50">
        <v>1040.8900000000001</v>
      </c>
      <c r="F292" s="50"/>
      <c r="G292" s="50"/>
      <c r="H292" s="50"/>
      <c r="I292" s="50"/>
    </row>
    <row r="293" spans="4:9">
      <c r="D293" s="49">
        <v>45412</v>
      </c>
      <c r="E293" s="50">
        <v>1040.8900000000001</v>
      </c>
      <c r="F293" s="50"/>
      <c r="G293" s="50"/>
      <c r="H293" s="50"/>
      <c r="I293" s="50"/>
    </row>
    <row r="294" spans="4:9">
      <c r="D294" s="49">
        <v>45411</v>
      </c>
      <c r="E294" s="50">
        <v>1037.77</v>
      </c>
      <c r="F294" s="50"/>
      <c r="G294" s="50"/>
      <c r="H294" s="50"/>
      <c r="I294" s="50"/>
    </row>
    <row r="295" spans="4:9">
      <c r="D295" s="49">
        <v>45408</v>
      </c>
      <c r="E295" s="50">
        <v>1034.04</v>
      </c>
      <c r="F295" s="50"/>
      <c r="G295" s="50"/>
      <c r="H295" s="50"/>
      <c r="I295" s="50"/>
    </row>
    <row r="296" spans="4:9">
      <c r="D296" s="49">
        <v>45407</v>
      </c>
      <c r="E296" s="50">
        <v>1034.06</v>
      </c>
      <c r="F296" s="50"/>
      <c r="G296" s="50"/>
      <c r="H296" s="50"/>
      <c r="I296" s="50"/>
    </row>
    <row r="297" spans="4:9">
      <c r="D297" s="49">
        <v>45406</v>
      </c>
      <c r="E297" s="50">
        <v>1015.54</v>
      </c>
      <c r="F297" s="50"/>
      <c r="G297" s="50"/>
      <c r="H297" s="50"/>
      <c r="I297" s="50"/>
    </row>
    <row r="298" spans="4:9">
      <c r="D298" s="49">
        <v>45405</v>
      </c>
      <c r="E298" s="50">
        <v>1006.71</v>
      </c>
      <c r="F298" s="50"/>
      <c r="G298" s="50"/>
      <c r="H298" s="50"/>
      <c r="I298" s="50"/>
    </row>
    <row r="299" spans="4:9">
      <c r="D299" s="49">
        <v>45404</v>
      </c>
      <c r="E299" s="50">
        <v>1014.98</v>
      </c>
      <c r="F299" s="50"/>
      <c r="G299" s="50"/>
      <c r="H299" s="50"/>
      <c r="I299" s="50"/>
    </row>
    <row r="300" spans="4:9">
      <c r="D300" s="49">
        <v>45401</v>
      </c>
      <c r="E300" s="50">
        <v>1026.6500000000001</v>
      </c>
      <c r="F300" s="50"/>
      <c r="G300" s="50"/>
      <c r="H300" s="50"/>
      <c r="I300" s="50"/>
    </row>
    <row r="301" spans="4:9">
      <c r="D301" s="49">
        <v>45400</v>
      </c>
      <c r="E301" s="50">
        <v>1021.92</v>
      </c>
      <c r="F301" s="50"/>
      <c r="G301" s="50"/>
      <c r="H301" s="50"/>
      <c r="I301" s="50"/>
    </row>
    <row r="302" spans="4:9">
      <c r="D302" s="49">
        <v>45399</v>
      </c>
      <c r="E302" s="50">
        <v>1021.16</v>
      </c>
      <c r="F302" s="50"/>
      <c r="G302" s="50"/>
      <c r="H302" s="50"/>
      <c r="I302" s="50"/>
    </row>
    <row r="303" spans="4:9">
      <c r="D303" s="49">
        <v>45398</v>
      </c>
      <c r="E303" s="50">
        <v>1031.6300000000001</v>
      </c>
      <c r="F303" s="50"/>
      <c r="G303" s="50"/>
      <c r="H303" s="50"/>
      <c r="I303" s="50"/>
    </row>
    <row r="304" spans="4:9">
      <c r="D304" s="49">
        <v>45397</v>
      </c>
      <c r="E304" s="50">
        <v>1021.55</v>
      </c>
      <c r="F304" s="50"/>
      <c r="G304" s="50"/>
      <c r="H304" s="50"/>
      <c r="I304" s="50"/>
    </row>
    <row r="305" spans="4:9">
      <c r="D305" s="49">
        <v>45394</v>
      </c>
      <c r="E305" s="50">
        <v>1005.46</v>
      </c>
      <c r="F305" s="50"/>
      <c r="G305" s="50"/>
      <c r="H305" s="50"/>
      <c r="I305" s="50"/>
    </row>
    <row r="306" spans="4:9">
      <c r="D306" s="49">
        <v>45393</v>
      </c>
      <c r="E306" s="50">
        <v>994.86</v>
      </c>
      <c r="F306" s="50"/>
      <c r="G306" s="50"/>
      <c r="H306" s="50"/>
      <c r="I306" s="50"/>
    </row>
    <row r="307" spans="4:9">
      <c r="D307" s="49">
        <v>45392</v>
      </c>
      <c r="E307" s="50">
        <v>999.64</v>
      </c>
      <c r="F307" s="50"/>
      <c r="G307" s="50"/>
      <c r="H307" s="50"/>
      <c r="I307" s="50"/>
    </row>
    <row r="308" spans="4:9">
      <c r="D308" s="49">
        <v>45391</v>
      </c>
      <c r="E308" s="50">
        <v>1000.69</v>
      </c>
      <c r="F308" s="50"/>
      <c r="G308" s="50"/>
      <c r="H308" s="50"/>
      <c r="I308" s="50"/>
    </row>
    <row r="309" spans="4:9">
      <c r="D309" s="49">
        <v>45390</v>
      </c>
      <c r="E309" s="50">
        <v>985.86</v>
      </c>
      <c r="F309" s="50"/>
      <c r="G309" s="50"/>
      <c r="H309" s="50"/>
      <c r="I309" s="50"/>
    </row>
    <row r="310" spans="4:9">
      <c r="D310" s="49">
        <v>45387</v>
      </c>
      <c r="E310" s="50">
        <v>1000.88</v>
      </c>
      <c r="F310" s="50"/>
      <c r="G310" s="50"/>
      <c r="H310" s="50"/>
      <c r="I310" s="50"/>
    </row>
    <row r="311" spans="4:9">
      <c r="D311" s="49">
        <v>45386</v>
      </c>
      <c r="E311" s="50">
        <v>996.25</v>
      </c>
      <c r="F311" s="50"/>
      <c r="G311" s="50"/>
      <c r="H311" s="50"/>
      <c r="I311" s="50"/>
    </row>
    <row r="312" spans="4:9">
      <c r="D312" s="49">
        <v>45385</v>
      </c>
      <c r="E312" s="50">
        <v>991.25</v>
      </c>
      <c r="F312" s="50"/>
      <c r="G312" s="50"/>
      <c r="H312" s="50"/>
      <c r="I312" s="50"/>
    </row>
    <row r="313" spans="4:9">
      <c r="D313" s="49">
        <v>45384</v>
      </c>
      <c r="E313" s="50">
        <v>1016.09</v>
      </c>
      <c r="F313" s="50"/>
      <c r="G313" s="50"/>
      <c r="H313" s="50"/>
      <c r="I313" s="50"/>
    </row>
    <row r="314" spans="4:9">
      <c r="D314" s="49">
        <v>45383</v>
      </c>
      <c r="E314" s="50">
        <v>1016.09</v>
      </c>
      <c r="F314" s="50"/>
      <c r="G314" s="50"/>
      <c r="H314" s="50"/>
      <c r="I314" s="50"/>
    </row>
    <row r="315" spans="4:9">
      <c r="D315" s="49">
        <v>45380</v>
      </c>
      <c r="E315" s="50">
        <v>1016.09</v>
      </c>
      <c r="F315" s="50"/>
      <c r="G315" s="50"/>
      <c r="H315" s="50"/>
      <c r="I315" s="50"/>
    </row>
    <row r="316" spans="4:9">
      <c r="D316" s="49">
        <v>45379</v>
      </c>
      <c r="E316" s="50">
        <v>1016.09</v>
      </c>
      <c r="F316" s="50"/>
      <c r="G316" s="50"/>
      <c r="H316" s="50"/>
      <c r="I316" s="50"/>
    </row>
    <row r="317" spans="4:9">
      <c r="D317" s="49">
        <v>45378</v>
      </c>
      <c r="E317" s="50">
        <v>1016.09</v>
      </c>
      <c r="F317" s="50"/>
      <c r="G317" s="50"/>
      <c r="H317" s="50"/>
      <c r="I317" s="50"/>
    </row>
    <row r="318" spans="4:9">
      <c r="D318" s="49">
        <v>45377</v>
      </c>
      <c r="E318" s="50">
        <v>1027.0899999999999</v>
      </c>
      <c r="F318" s="50"/>
      <c r="G318" s="50"/>
      <c r="H318" s="50"/>
      <c r="I318" s="50"/>
    </row>
    <row r="319" spans="4:9">
      <c r="D319" s="49">
        <v>45376</v>
      </c>
      <c r="E319" s="50">
        <v>1012.94</v>
      </c>
      <c r="F319" s="50"/>
      <c r="G319" s="50"/>
      <c r="H319" s="50"/>
      <c r="I319" s="50"/>
    </row>
    <row r="320" spans="4:9">
      <c r="D320" s="49">
        <v>45373</v>
      </c>
      <c r="E320" s="50">
        <v>1036.1600000000001</v>
      </c>
      <c r="F320" s="50"/>
      <c r="G320" s="50"/>
      <c r="H320" s="50"/>
      <c r="I320" s="50"/>
    </row>
    <row r="321" spans="4:9">
      <c r="D321" s="49">
        <v>45372</v>
      </c>
      <c r="E321" s="50">
        <v>1036.25</v>
      </c>
      <c r="F321" s="50"/>
      <c r="G321" s="50"/>
      <c r="H321" s="50"/>
      <c r="I321" s="50"/>
    </row>
    <row r="322" spans="4:9">
      <c r="D322" s="49">
        <v>45371</v>
      </c>
      <c r="E322" s="50">
        <v>1042.43</v>
      </c>
      <c r="F322" s="50"/>
      <c r="G322" s="50"/>
      <c r="H322" s="50"/>
      <c r="I322" s="50"/>
    </row>
    <row r="323" spans="4:9">
      <c r="D323" s="49">
        <v>45370</v>
      </c>
      <c r="E323" s="50">
        <v>1032.3599999999999</v>
      </c>
      <c r="F323" s="50"/>
      <c r="G323" s="50"/>
      <c r="H323" s="50"/>
      <c r="I323" s="50"/>
    </row>
    <row r="324" spans="4:9">
      <c r="D324" s="49">
        <v>45369</v>
      </c>
      <c r="E324" s="50">
        <v>1023.89</v>
      </c>
      <c r="F324" s="50"/>
      <c r="G324" s="50"/>
      <c r="H324" s="50"/>
      <c r="I324" s="50"/>
    </row>
    <row r="325" spans="4:9">
      <c r="D325" s="49">
        <v>45366</v>
      </c>
      <c r="E325" s="50">
        <v>1027.6300000000001</v>
      </c>
      <c r="F325" s="50"/>
      <c r="G325" s="50"/>
      <c r="H325" s="50"/>
      <c r="I325" s="50"/>
    </row>
    <row r="326" spans="4:9">
      <c r="D326" s="49">
        <v>45365</v>
      </c>
      <c r="E326" s="50">
        <v>1015.67</v>
      </c>
      <c r="F326" s="50"/>
      <c r="G326" s="50"/>
      <c r="H326" s="50"/>
      <c r="I326" s="50"/>
    </row>
    <row r="327" spans="4:9">
      <c r="D327" s="49">
        <v>45364</v>
      </c>
      <c r="E327" s="50">
        <v>1012.01</v>
      </c>
      <c r="F327" s="50"/>
      <c r="G327" s="50"/>
      <c r="H327" s="50"/>
      <c r="I327" s="50"/>
    </row>
    <row r="328" spans="4:9">
      <c r="D328" s="49">
        <v>45363</v>
      </c>
      <c r="E328" s="50">
        <v>1036.19</v>
      </c>
      <c r="F328" s="50"/>
      <c r="G328" s="50"/>
      <c r="H328" s="50"/>
      <c r="I328" s="50"/>
    </row>
    <row r="329" spans="4:9">
      <c r="D329" s="49">
        <v>45362</v>
      </c>
      <c r="E329" s="50">
        <v>980.98</v>
      </c>
      <c r="F329" s="50"/>
      <c r="G329" s="50"/>
      <c r="H329" s="50"/>
      <c r="I329" s="50"/>
    </row>
    <row r="330" spans="4:9">
      <c r="D330" s="49">
        <v>45359</v>
      </c>
      <c r="E330" s="50">
        <v>1000.47</v>
      </c>
      <c r="F330" s="50"/>
      <c r="G330" s="50"/>
      <c r="H330" s="50"/>
      <c r="I330" s="50"/>
    </row>
    <row r="331" spans="4:9">
      <c r="D331" s="49">
        <v>45358</v>
      </c>
      <c r="E331" s="50">
        <v>996.63</v>
      </c>
      <c r="F331" s="50"/>
      <c r="G331" s="50"/>
      <c r="H331" s="50"/>
      <c r="I331" s="50"/>
    </row>
    <row r="332" spans="4:9">
      <c r="D332" s="49">
        <v>45357</v>
      </c>
      <c r="E332" s="50">
        <v>981.21</v>
      </c>
      <c r="F332" s="50"/>
      <c r="G332" s="50"/>
      <c r="H332" s="50"/>
      <c r="I332" s="50"/>
    </row>
    <row r="333" spans="4:9">
      <c r="D333" s="49">
        <v>45356</v>
      </c>
      <c r="E333" s="50">
        <v>1016.08</v>
      </c>
      <c r="F333" s="50"/>
      <c r="G333" s="50"/>
      <c r="H333" s="50"/>
      <c r="I333" s="50"/>
    </row>
    <row r="334" spans="4:9">
      <c r="D334" s="49">
        <v>45355</v>
      </c>
      <c r="E334" s="50">
        <v>1029.54</v>
      </c>
      <c r="F334" s="50"/>
      <c r="G334" s="50"/>
      <c r="H334" s="50"/>
      <c r="I334" s="50"/>
    </row>
    <row r="335" spans="4:9">
      <c r="D335" s="49">
        <v>45352</v>
      </c>
      <c r="E335" s="50">
        <v>1053.46</v>
      </c>
      <c r="F335" s="50"/>
      <c r="G335" s="50"/>
      <c r="H335" s="50"/>
      <c r="I335" s="50"/>
    </row>
    <row r="336" spans="4:9">
      <c r="D336" s="49">
        <v>45351</v>
      </c>
      <c r="E336" s="50">
        <v>1032.24</v>
      </c>
      <c r="F336" s="50"/>
      <c r="G336" s="50"/>
      <c r="H336" s="50"/>
      <c r="I336" s="50"/>
    </row>
    <row r="337" spans="4:9">
      <c r="D337" s="49">
        <v>45350</v>
      </c>
      <c r="E337" s="50">
        <v>1031.25</v>
      </c>
      <c r="F337" s="50"/>
      <c r="G337" s="50"/>
      <c r="H337" s="50"/>
      <c r="I337" s="50"/>
    </row>
    <row r="338" spans="4:9">
      <c r="D338" s="49">
        <v>45349</v>
      </c>
      <c r="E338" s="50">
        <v>1044.95</v>
      </c>
      <c r="F338" s="50"/>
      <c r="G338" s="50"/>
      <c r="H338" s="50"/>
      <c r="I338" s="50"/>
    </row>
    <row r="339" spans="4:9">
      <c r="D339" s="49">
        <v>45348</v>
      </c>
      <c r="E339" s="50">
        <v>1051.04</v>
      </c>
      <c r="F339" s="50"/>
      <c r="G339" s="50"/>
      <c r="H339" s="50"/>
      <c r="I339" s="50"/>
    </row>
    <row r="340" spans="4:9">
      <c r="D340" s="49">
        <v>45345</v>
      </c>
      <c r="E340" s="50">
        <v>1076.5999999999999</v>
      </c>
      <c r="F340" s="50"/>
      <c r="G340" s="50"/>
      <c r="H340" s="50"/>
      <c r="I340" s="50"/>
    </row>
    <row r="341" spans="4:9">
      <c r="D341" s="49">
        <v>45344</v>
      </c>
      <c r="E341" s="50">
        <v>1054.78</v>
      </c>
      <c r="F341" s="50"/>
      <c r="G341" s="50"/>
      <c r="H341" s="50"/>
      <c r="I341" s="50"/>
    </row>
    <row r="342" spans="4:9">
      <c r="D342" s="49">
        <v>45343</v>
      </c>
      <c r="E342" s="50">
        <v>1072.51</v>
      </c>
      <c r="F342" s="50"/>
      <c r="G342" s="50"/>
      <c r="H342" s="50"/>
      <c r="I342" s="50"/>
    </row>
    <row r="343" spans="4:9">
      <c r="D343" s="49">
        <v>45342</v>
      </c>
      <c r="E343" s="50">
        <v>1080.31</v>
      </c>
      <c r="F343" s="50"/>
      <c r="G343" s="50"/>
      <c r="H343" s="50"/>
      <c r="I343" s="50"/>
    </row>
    <row r="344" spans="4:9">
      <c r="D344" s="49">
        <v>45341</v>
      </c>
      <c r="E344" s="50">
        <v>1108.6099999999999</v>
      </c>
      <c r="F344" s="50"/>
      <c r="G344" s="50"/>
      <c r="H344" s="50"/>
      <c r="I344" s="50"/>
    </row>
    <row r="345" spans="4:9">
      <c r="D345" s="49">
        <v>45338</v>
      </c>
      <c r="E345" s="50">
        <v>1064.71</v>
      </c>
      <c r="F345" s="50"/>
      <c r="G345" s="50"/>
      <c r="H345" s="50"/>
      <c r="I345" s="50"/>
    </row>
    <row r="346" spans="4:9">
      <c r="D346" s="49">
        <v>45337</v>
      </c>
      <c r="E346" s="50">
        <v>1086.8599999999999</v>
      </c>
      <c r="F346" s="50"/>
      <c r="G346" s="50"/>
      <c r="H346" s="50"/>
      <c r="I346" s="50"/>
    </row>
    <row r="347" spans="4:9">
      <c r="D347" s="49">
        <v>45336</v>
      </c>
      <c r="E347" s="50">
        <v>1124.1400000000001</v>
      </c>
      <c r="F347" s="50"/>
      <c r="G347" s="50"/>
      <c r="H347" s="50"/>
      <c r="I347" s="50"/>
    </row>
    <row r="348" spans="4:9">
      <c r="D348" s="49">
        <v>45335</v>
      </c>
      <c r="E348" s="50">
        <v>1173.3599999999999</v>
      </c>
      <c r="F348" s="50"/>
      <c r="G348" s="50"/>
      <c r="H348" s="50"/>
      <c r="I348" s="50"/>
    </row>
    <row r="349" spans="4:9">
      <c r="D349" s="49">
        <v>45334</v>
      </c>
      <c r="E349" s="50">
        <v>1173.3599999999999</v>
      </c>
      <c r="F349" s="50"/>
      <c r="G349" s="50"/>
      <c r="H349" s="50"/>
      <c r="I349" s="50"/>
    </row>
    <row r="350" spans="4:9">
      <c r="D350" s="49">
        <v>45331</v>
      </c>
      <c r="E350" s="50">
        <v>1173.3599999999999</v>
      </c>
      <c r="F350" s="50"/>
      <c r="G350" s="50"/>
      <c r="H350" s="50"/>
      <c r="I350" s="50"/>
    </row>
    <row r="351" spans="4:9">
      <c r="D351" s="49">
        <v>45330</v>
      </c>
      <c r="E351" s="50">
        <v>1183.55</v>
      </c>
      <c r="F351" s="50"/>
      <c r="G351" s="50"/>
      <c r="H351" s="50"/>
      <c r="I351" s="50"/>
    </row>
    <row r="352" spans="4:9">
      <c r="D352" s="49">
        <v>45329</v>
      </c>
      <c r="E352" s="50">
        <v>1199.4100000000001</v>
      </c>
      <c r="F352" s="50"/>
      <c r="G352" s="50"/>
      <c r="H352" s="50"/>
      <c r="I352" s="50"/>
    </row>
    <row r="353" spans="4:9">
      <c r="D353" s="49">
        <v>45328</v>
      </c>
      <c r="E353" s="50">
        <v>1194.74</v>
      </c>
      <c r="F353" s="50"/>
      <c r="G353" s="50"/>
      <c r="H353" s="50"/>
      <c r="I353" s="50"/>
    </row>
    <row r="354" spans="4:9">
      <c r="D354" s="49">
        <v>45327</v>
      </c>
      <c r="E354" s="50">
        <v>1209.52</v>
      </c>
      <c r="F354" s="50"/>
      <c r="G354" s="50"/>
      <c r="H354" s="50"/>
      <c r="I354" s="50"/>
    </row>
    <row r="355" spans="4:9">
      <c r="D355" s="49">
        <v>45324</v>
      </c>
      <c r="E355" s="50">
        <v>1237.43</v>
      </c>
      <c r="F355" s="50"/>
      <c r="G355" s="50"/>
      <c r="H355" s="50"/>
      <c r="I355" s="50"/>
    </row>
    <row r="356" spans="4:9">
      <c r="D356" s="49">
        <v>45323</v>
      </c>
      <c r="E356" s="50">
        <v>1235.43</v>
      </c>
      <c r="F356" s="50"/>
      <c r="G356" s="50"/>
      <c r="H356" s="50"/>
      <c r="I356" s="50"/>
    </row>
    <row r="357" spans="4:9">
      <c r="D357" s="49">
        <v>45322</v>
      </c>
      <c r="E357" s="50">
        <v>1175.67</v>
      </c>
      <c r="F357" s="50"/>
      <c r="G357" s="50"/>
      <c r="H357" s="50"/>
      <c r="I357" s="50"/>
    </row>
    <row r="358" spans="4:9">
      <c r="D358" s="49">
        <v>45321</v>
      </c>
      <c r="E358" s="50">
        <v>1208.21</v>
      </c>
      <c r="F358" s="50"/>
      <c r="G358" s="50"/>
      <c r="H358" s="50"/>
      <c r="I358" s="50"/>
    </row>
    <row r="359" spans="4:9">
      <c r="D359" s="49">
        <v>45320</v>
      </c>
      <c r="E359" s="50">
        <v>1219.8800000000001</v>
      </c>
      <c r="F359" s="50"/>
      <c r="G359" s="50"/>
      <c r="H359" s="50"/>
      <c r="I359" s="50"/>
    </row>
    <row r="360" spans="4:9">
      <c r="D360" s="49">
        <v>45317</v>
      </c>
      <c r="E360" s="50">
        <v>1188.48</v>
      </c>
      <c r="F360" s="50"/>
      <c r="G360" s="50"/>
      <c r="H360" s="50"/>
      <c r="I360" s="50"/>
    </row>
    <row r="361" spans="4:9">
      <c r="D361" s="49">
        <v>45316</v>
      </c>
      <c r="E361" s="50">
        <v>1229.32</v>
      </c>
      <c r="F361" s="50"/>
      <c r="G361" s="50"/>
      <c r="H361" s="50"/>
      <c r="I361" s="50"/>
    </row>
    <row r="362" spans="4:9">
      <c r="D362" s="49">
        <v>45315</v>
      </c>
      <c r="E362" s="50">
        <v>1232.72</v>
      </c>
      <c r="F362" s="50"/>
      <c r="G362" s="50"/>
      <c r="H362" s="50"/>
      <c r="I362" s="50"/>
    </row>
    <row r="363" spans="4:9">
      <c r="D363" s="49">
        <v>45314</v>
      </c>
      <c r="E363" s="50">
        <v>1233.22</v>
      </c>
      <c r="F363" s="50"/>
      <c r="G363" s="50"/>
      <c r="H363" s="50"/>
      <c r="I363" s="50"/>
    </row>
    <row r="364" spans="4:9">
      <c r="D364" s="49">
        <v>45313</v>
      </c>
      <c r="E364" s="50">
        <v>1241.4100000000001</v>
      </c>
      <c r="F364" s="50"/>
      <c r="G364" s="50"/>
      <c r="H364" s="50"/>
      <c r="I364" s="50"/>
    </row>
    <row r="365" spans="4:9">
      <c r="D365" s="49">
        <v>45310</v>
      </c>
      <c r="E365" s="50">
        <v>1251.67</v>
      </c>
      <c r="F365" s="50"/>
      <c r="G365" s="50"/>
      <c r="H365" s="50"/>
      <c r="I365" s="50"/>
    </row>
    <row r="366" spans="4:9">
      <c r="D366" s="49">
        <v>45309</v>
      </c>
      <c r="E366" s="50">
        <v>1227.54</v>
      </c>
      <c r="F366" s="50"/>
      <c r="G366" s="50"/>
      <c r="H366" s="50"/>
      <c r="I366" s="50"/>
    </row>
    <row r="367" spans="4:9">
      <c r="D367" s="49">
        <v>45308</v>
      </c>
      <c r="E367" s="50">
        <v>1221.49</v>
      </c>
      <c r="F367" s="50"/>
      <c r="G367" s="50"/>
      <c r="H367" s="50"/>
      <c r="I367" s="50"/>
    </row>
    <row r="368" spans="4:9">
      <c r="D368" s="49">
        <v>45307</v>
      </c>
      <c r="E368" s="50">
        <v>1163.48</v>
      </c>
      <c r="F368" s="50"/>
      <c r="G368" s="50"/>
      <c r="H368" s="50"/>
      <c r="I368" s="50"/>
    </row>
    <row r="369" spans="4:9">
      <c r="D369" s="49">
        <v>45306</v>
      </c>
      <c r="E369" s="50">
        <v>1125.3</v>
      </c>
      <c r="F369" s="50"/>
      <c r="G369" s="50"/>
      <c r="H369" s="50"/>
      <c r="I369" s="50"/>
    </row>
    <row r="370" spans="4:9">
      <c r="D370" s="49">
        <v>45303</v>
      </c>
      <c r="E370" s="50">
        <v>1096.3900000000001</v>
      </c>
      <c r="F370" s="50"/>
      <c r="G370" s="50"/>
      <c r="H370" s="50"/>
      <c r="I370" s="50"/>
    </row>
    <row r="371" spans="4:9">
      <c r="D371" s="49">
        <v>45302</v>
      </c>
      <c r="E371" s="50">
        <v>1119.17</v>
      </c>
      <c r="F371" s="50"/>
      <c r="G371" s="50"/>
      <c r="H371" s="50"/>
      <c r="I371" s="50"/>
    </row>
    <row r="372" spans="4:9">
      <c r="D372" s="49">
        <v>45301</v>
      </c>
      <c r="E372" s="50">
        <v>1142.45</v>
      </c>
      <c r="F372" s="50"/>
      <c r="G372" s="50"/>
      <c r="H372" s="50"/>
      <c r="I372" s="50"/>
    </row>
    <row r="373" spans="4:9">
      <c r="D373" s="49">
        <v>45300</v>
      </c>
      <c r="E373" s="50">
        <v>1160.3800000000001</v>
      </c>
      <c r="F373" s="50"/>
      <c r="G373" s="50"/>
      <c r="H373" s="50"/>
      <c r="I373" s="50"/>
    </row>
    <row r="374" spans="4:9">
      <c r="D374" s="49">
        <v>45299</v>
      </c>
      <c r="E374" s="50">
        <v>1141.6199999999999</v>
      </c>
      <c r="F374" s="50"/>
      <c r="G374" s="50"/>
      <c r="H374" s="50"/>
      <c r="I374" s="50"/>
    </row>
    <row r="375" spans="4:9">
      <c r="D375" s="49">
        <v>45296</v>
      </c>
      <c r="E375" s="50">
        <v>1104.93</v>
      </c>
      <c r="F375" s="50"/>
      <c r="G375" s="50"/>
      <c r="H375" s="50"/>
      <c r="I375" s="50"/>
    </row>
    <row r="376" spans="4:9">
      <c r="D376" s="49">
        <v>45295</v>
      </c>
      <c r="E376" s="50">
        <v>1050.43</v>
      </c>
      <c r="F376" s="50"/>
      <c r="G376" s="50"/>
      <c r="H376" s="50"/>
      <c r="I376" s="50"/>
    </row>
    <row r="377" spans="4:9">
      <c r="D377" s="49">
        <v>45294</v>
      </c>
      <c r="E377" s="50">
        <v>1033.56</v>
      </c>
      <c r="F377" s="50"/>
      <c r="G377" s="50"/>
      <c r="H377" s="50"/>
      <c r="I377" s="50"/>
    </row>
    <row r="378" spans="4:9">
      <c r="D378" s="49">
        <v>45293</v>
      </c>
      <c r="E378" s="50">
        <v>991.3</v>
      </c>
      <c r="F378" s="50"/>
      <c r="G378" s="50"/>
      <c r="H378" s="50"/>
      <c r="I378" s="50"/>
    </row>
    <row r="379" spans="4:9">
      <c r="D379" s="49">
        <v>45292</v>
      </c>
      <c r="E379" s="50">
        <v>995</v>
      </c>
      <c r="F379" s="50"/>
      <c r="G379" s="50"/>
      <c r="H379" s="50"/>
      <c r="I379" s="50"/>
    </row>
    <row r="380" spans="4:9">
      <c r="D380" s="49">
        <v>45289</v>
      </c>
      <c r="E380" s="50">
        <v>995</v>
      </c>
      <c r="F380" s="50"/>
      <c r="G380" s="50"/>
      <c r="H380" s="50"/>
      <c r="I380" s="50"/>
    </row>
    <row r="381" spans="4:9">
      <c r="D381" s="49">
        <v>45288</v>
      </c>
      <c r="E381" s="50">
        <v>950.24</v>
      </c>
      <c r="F381" s="50"/>
      <c r="G381" s="50"/>
      <c r="H381" s="50"/>
      <c r="I381" s="50"/>
    </row>
    <row r="382" spans="4:9">
      <c r="D382" s="49">
        <v>45287</v>
      </c>
      <c r="E382" s="50">
        <v>932.59</v>
      </c>
      <c r="F382" s="50"/>
      <c r="G382" s="50"/>
      <c r="H382" s="50"/>
      <c r="I382" s="50"/>
    </row>
    <row r="383" spans="4:9">
      <c r="D383" s="49">
        <v>45286</v>
      </c>
      <c r="E383" s="50">
        <v>939.7</v>
      </c>
      <c r="F383" s="50"/>
      <c r="G383" s="50"/>
      <c r="H383" s="50"/>
      <c r="I383" s="50"/>
    </row>
    <row r="384" spans="4:9">
      <c r="D384" s="49">
        <v>45285</v>
      </c>
      <c r="E384" s="50">
        <v>954.23</v>
      </c>
      <c r="F384" s="50"/>
      <c r="G384" s="50"/>
      <c r="H384" s="50"/>
      <c r="I384" s="50"/>
    </row>
    <row r="385" spans="4:9">
      <c r="D385" s="49">
        <v>45282</v>
      </c>
      <c r="E385" s="50">
        <v>954.23</v>
      </c>
      <c r="F385" s="50"/>
      <c r="G385" s="50"/>
      <c r="H385" s="50"/>
      <c r="I385" s="50"/>
    </row>
    <row r="386" spans="4:9">
      <c r="D386" s="49">
        <v>45281</v>
      </c>
      <c r="E386" s="50">
        <v>971.88</v>
      </c>
      <c r="F386" s="50"/>
      <c r="G386" s="50"/>
      <c r="H386" s="50"/>
      <c r="I386" s="50"/>
    </row>
    <row r="387" spans="4:9">
      <c r="D387" s="49">
        <v>45280</v>
      </c>
      <c r="E387" s="50">
        <v>946.47</v>
      </c>
      <c r="F387" s="50"/>
      <c r="G387" s="50"/>
      <c r="H387" s="50"/>
      <c r="I387" s="50"/>
    </row>
    <row r="388" spans="4:9">
      <c r="D388" s="49">
        <v>45279</v>
      </c>
      <c r="E388" s="50">
        <v>964.69</v>
      </c>
      <c r="F388" s="50"/>
      <c r="G388" s="50"/>
      <c r="H388" s="50"/>
      <c r="I388" s="50"/>
    </row>
    <row r="389" spans="4:9">
      <c r="D389" s="49">
        <v>45278</v>
      </c>
      <c r="E389" s="50">
        <v>963.22</v>
      </c>
      <c r="F389" s="50"/>
      <c r="G389" s="50"/>
      <c r="H389" s="50"/>
      <c r="I389" s="50"/>
    </row>
    <row r="390" spans="4:9">
      <c r="D390" s="49">
        <v>45275</v>
      </c>
      <c r="E390" s="50">
        <v>993.73</v>
      </c>
      <c r="F390" s="50"/>
      <c r="G390" s="50"/>
      <c r="H390" s="50"/>
      <c r="I390" s="50"/>
    </row>
    <row r="391" spans="4:9">
      <c r="D391" s="49">
        <v>45274</v>
      </c>
      <c r="E391" s="50">
        <v>1003.94</v>
      </c>
      <c r="F391" s="50"/>
      <c r="G391" s="50"/>
      <c r="H391" s="50"/>
      <c r="I391" s="50"/>
    </row>
    <row r="392" spans="4:9">
      <c r="D392" s="49">
        <v>45273</v>
      </c>
      <c r="E392" s="50">
        <v>1037.29</v>
      </c>
      <c r="F392" s="50"/>
      <c r="G392" s="50"/>
      <c r="H392" s="50"/>
      <c r="I392" s="50"/>
    </row>
    <row r="393" spans="4:9">
      <c r="D393" s="49">
        <v>45272</v>
      </c>
      <c r="E393" s="50">
        <v>1011.46</v>
      </c>
      <c r="F393" s="50"/>
      <c r="G393" s="50"/>
      <c r="H393" s="50"/>
      <c r="I393" s="50"/>
    </row>
    <row r="394" spans="4:9">
      <c r="D394" s="49">
        <v>45271</v>
      </c>
      <c r="E394" s="50">
        <v>993.53</v>
      </c>
      <c r="F394" s="50"/>
      <c r="G394" s="50"/>
      <c r="H394" s="50"/>
      <c r="I394" s="50"/>
    </row>
    <row r="395" spans="4:9">
      <c r="D395" s="49">
        <v>45268</v>
      </c>
      <c r="E395" s="50">
        <v>986.37</v>
      </c>
      <c r="F395" s="50"/>
      <c r="G395" s="50"/>
      <c r="H395" s="50"/>
      <c r="I395" s="50"/>
    </row>
    <row r="396" spans="4:9">
      <c r="D396" s="49">
        <v>45267</v>
      </c>
      <c r="E396" s="50">
        <v>986.37</v>
      </c>
      <c r="F396" s="50"/>
      <c r="G396" s="50"/>
      <c r="H396" s="50"/>
      <c r="I396" s="50"/>
    </row>
    <row r="397" spans="4:9">
      <c r="D397" s="49">
        <v>45266</v>
      </c>
      <c r="E397" s="50">
        <v>936.93</v>
      </c>
      <c r="F397" s="50"/>
      <c r="G397" s="50"/>
      <c r="H397" s="50"/>
      <c r="I397" s="50"/>
    </row>
    <row r="398" spans="4:9">
      <c r="D398" s="49">
        <v>45265</v>
      </c>
      <c r="E398" s="50">
        <v>934.71</v>
      </c>
      <c r="F398" s="50"/>
      <c r="G398" s="50"/>
      <c r="H398" s="50"/>
      <c r="I398" s="50"/>
    </row>
    <row r="399" spans="4:9">
      <c r="D399" s="49">
        <v>45264</v>
      </c>
      <c r="E399" s="50">
        <v>913.05</v>
      </c>
      <c r="F399" s="50"/>
      <c r="G399" s="50"/>
      <c r="H399" s="50"/>
      <c r="I399" s="50"/>
    </row>
    <row r="400" spans="4:9">
      <c r="D400" s="49">
        <v>45261</v>
      </c>
      <c r="E400" s="50">
        <v>907.69</v>
      </c>
      <c r="F400" s="50"/>
      <c r="G400" s="50"/>
      <c r="H400" s="50"/>
      <c r="I400" s="50"/>
    </row>
    <row r="401" spans="4:9">
      <c r="D401" s="49">
        <v>45260</v>
      </c>
      <c r="E401" s="50">
        <v>858.82</v>
      </c>
      <c r="F401" s="50"/>
      <c r="G401" s="50"/>
      <c r="H401" s="50"/>
      <c r="I401" s="50"/>
    </row>
    <row r="402" spans="4:9">
      <c r="D402" s="49">
        <v>45259</v>
      </c>
      <c r="E402" s="50">
        <v>838.16</v>
      </c>
      <c r="F402" s="50"/>
      <c r="G402" s="50"/>
      <c r="H402" s="50"/>
      <c r="I402" s="50"/>
    </row>
    <row r="403" spans="4:9">
      <c r="D403" s="49">
        <v>45258</v>
      </c>
      <c r="E403" s="50">
        <v>867.12</v>
      </c>
      <c r="F403" s="50"/>
      <c r="G403" s="50"/>
      <c r="H403" s="50"/>
      <c r="I403" s="50"/>
    </row>
    <row r="404" spans="4:9">
      <c r="D404" s="49">
        <v>45257</v>
      </c>
      <c r="E404" s="50">
        <v>889.15</v>
      </c>
      <c r="F404" s="50"/>
      <c r="G404" s="50"/>
      <c r="H404" s="50"/>
      <c r="I404" s="50"/>
    </row>
    <row r="405" spans="4:9">
      <c r="D405" s="49">
        <v>45254</v>
      </c>
      <c r="E405" s="50">
        <v>972.75</v>
      </c>
      <c r="F405" s="50"/>
      <c r="G405" s="50"/>
      <c r="H405" s="50"/>
      <c r="I405" s="50"/>
    </row>
    <row r="406" spans="4:9">
      <c r="D406" s="49">
        <v>45253</v>
      </c>
      <c r="E406" s="50">
        <v>1006.39</v>
      </c>
      <c r="F406" s="50"/>
      <c r="G406" s="50"/>
      <c r="H406" s="50"/>
      <c r="I406" s="50"/>
    </row>
    <row r="407" spans="4:9">
      <c r="D407" s="49">
        <v>45252</v>
      </c>
      <c r="E407" s="50">
        <v>984.19</v>
      </c>
      <c r="F407" s="50"/>
      <c r="G407" s="50"/>
      <c r="H407" s="50"/>
      <c r="I407" s="50"/>
    </row>
    <row r="408" spans="4:9">
      <c r="D408" s="49">
        <v>45251</v>
      </c>
      <c r="E408" s="50">
        <v>930.44</v>
      </c>
      <c r="F408" s="50"/>
      <c r="G408" s="50"/>
      <c r="H408" s="50"/>
      <c r="I408" s="50"/>
    </row>
    <row r="409" spans="4:9">
      <c r="D409" s="49">
        <v>45250</v>
      </c>
      <c r="E409" s="50">
        <v>872.61</v>
      </c>
      <c r="F409" s="50"/>
      <c r="G409" s="50"/>
      <c r="H409" s="50"/>
      <c r="I409" s="50"/>
    </row>
    <row r="410" spans="4:9">
      <c r="D410" s="49">
        <v>45247</v>
      </c>
      <c r="E410" s="50">
        <v>872.61</v>
      </c>
      <c r="F410" s="50"/>
      <c r="G410" s="50"/>
      <c r="H410" s="50"/>
      <c r="I410" s="50"/>
    </row>
    <row r="411" spans="4:9">
      <c r="D411" s="49">
        <v>45246</v>
      </c>
      <c r="E411" s="50">
        <v>857.14</v>
      </c>
      <c r="F411" s="50"/>
      <c r="G411" s="50"/>
      <c r="H411" s="50"/>
      <c r="I411" s="50"/>
    </row>
    <row r="412" spans="4:9">
      <c r="D412" s="49">
        <v>45245</v>
      </c>
      <c r="E412" s="50">
        <v>882.35</v>
      </c>
      <c r="F412" s="50"/>
      <c r="G412" s="50"/>
      <c r="H412" s="50"/>
      <c r="I412" s="50"/>
    </row>
    <row r="413" spans="4:9">
      <c r="D413" s="49">
        <v>45244</v>
      </c>
      <c r="E413" s="50">
        <v>868.42</v>
      </c>
      <c r="F413" s="50"/>
      <c r="G413" s="50"/>
      <c r="H413" s="50"/>
      <c r="I413" s="50"/>
    </row>
    <row r="414" spans="4:9">
      <c r="D414" s="49">
        <v>45243</v>
      </c>
      <c r="E414" s="50">
        <v>870.63</v>
      </c>
      <c r="F414" s="50"/>
      <c r="G414" s="50"/>
      <c r="H414" s="50"/>
      <c r="I414" s="50"/>
    </row>
    <row r="415" spans="4:9">
      <c r="D415" s="49">
        <v>45240</v>
      </c>
      <c r="E415" s="50">
        <v>881.71</v>
      </c>
      <c r="F415" s="50"/>
      <c r="G415" s="50"/>
      <c r="H415" s="50"/>
      <c r="I415" s="50"/>
    </row>
    <row r="416" spans="4:9">
      <c r="D416" s="49">
        <v>45239</v>
      </c>
      <c r="E416" s="50">
        <v>863.3</v>
      </c>
      <c r="F416" s="50"/>
      <c r="G416" s="50"/>
      <c r="H416" s="50"/>
      <c r="I416" s="50"/>
    </row>
    <row r="417" spans="4:9">
      <c r="D417" s="49">
        <v>45238</v>
      </c>
      <c r="E417" s="50">
        <v>840.97</v>
      </c>
      <c r="F417" s="50"/>
      <c r="G417" s="50"/>
      <c r="H417" s="50"/>
      <c r="I417" s="50"/>
    </row>
    <row r="418" spans="4:9">
      <c r="D418" s="49">
        <v>45237</v>
      </c>
      <c r="E418" s="50">
        <v>848.8</v>
      </c>
      <c r="F418" s="50"/>
      <c r="G418" s="50"/>
      <c r="H418" s="50"/>
      <c r="I418" s="50"/>
    </row>
    <row r="419" spans="4:9">
      <c r="D419" s="49">
        <v>45236</v>
      </c>
      <c r="E419" s="50">
        <v>844.01</v>
      </c>
      <c r="F419" s="50"/>
      <c r="G419" s="50"/>
      <c r="H419" s="50"/>
      <c r="I419" s="50"/>
    </row>
    <row r="420" spans="4:9">
      <c r="D420" s="49">
        <v>45233</v>
      </c>
      <c r="E420" s="50">
        <v>844.01</v>
      </c>
      <c r="F420" s="50"/>
      <c r="G420" s="50"/>
      <c r="H420" s="50"/>
      <c r="I420" s="50"/>
    </row>
    <row r="421" spans="4:9">
      <c r="D421" s="49">
        <v>45232</v>
      </c>
      <c r="E421" s="50">
        <v>863.64</v>
      </c>
      <c r="F421" s="50"/>
      <c r="G421" s="50"/>
      <c r="H421" s="50"/>
      <c r="I421" s="50"/>
    </row>
    <row r="422" spans="4:9">
      <c r="D422" s="49">
        <v>45231</v>
      </c>
      <c r="E422" s="50">
        <v>840.28</v>
      </c>
      <c r="F422" s="50"/>
      <c r="G422" s="50"/>
      <c r="H422" s="50"/>
      <c r="I422" s="50"/>
    </row>
    <row r="423" spans="4:9">
      <c r="D423" s="49">
        <v>45230</v>
      </c>
      <c r="E423" s="50">
        <v>852.85</v>
      </c>
      <c r="F423" s="50"/>
      <c r="G423" s="50"/>
      <c r="H423" s="50"/>
      <c r="I423" s="50"/>
    </row>
    <row r="424" spans="4:9">
      <c r="D424" s="49">
        <v>45229</v>
      </c>
      <c r="E424" s="50">
        <v>859.75</v>
      </c>
      <c r="F424" s="50"/>
      <c r="G424" s="50"/>
      <c r="H424" s="50"/>
      <c r="I424" s="50"/>
    </row>
    <row r="425" spans="4:9">
      <c r="D425" s="49">
        <v>45226</v>
      </c>
      <c r="E425" s="50">
        <v>806.84</v>
      </c>
      <c r="F425" s="50"/>
      <c r="G425" s="50"/>
      <c r="H425" s="50"/>
      <c r="I425" s="50"/>
    </row>
    <row r="426" spans="4:9">
      <c r="D426" s="49">
        <v>45225</v>
      </c>
      <c r="E426" s="50">
        <v>855.48</v>
      </c>
      <c r="F426" s="50"/>
      <c r="G426" s="50"/>
      <c r="H426" s="50"/>
      <c r="I426" s="50"/>
    </row>
    <row r="427" spans="4:9">
      <c r="D427" s="49">
        <v>45224</v>
      </c>
      <c r="E427" s="50">
        <v>872.31</v>
      </c>
      <c r="F427" s="50"/>
      <c r="G427" s="50"/>
      <c r="H427" s="50"/>
      <c r="I427" s="50"/>
    </row>
    <row r="428" spans="4:9">
      <c r="D428" s="49">
        <v>45223</v>
      </c>
      <c r="E428" s="50">
        <v>843.82</v>
      </c>
      <c r="F428" s="50"/>
      <c r="G428" s="50"/>
      <c r="H428" s="50"/>
      <c r="I428" s="50"/>
    </row>
    <row r="429" spans="4:9">
      <c r="D429" s="49">
        <v>45222</v>
      </c>
      <c r="E429" s="50">
        <v>899.33</v>
      </c>
      <c r="F429" s="50"/>
      <c r="G429" s="50"/>
      <c r="H429" s="50"/>
      <c r="I429" s="50"/>
    </row>
    <row r="430" spans="4:9">
      <c r="D430" s="49">
        <v>45219</v>
      </c>
      <c r="E430" s="50">
        <v>898.91</v>
      </c>
      <c r="F430" s="50"/>
      <c r="G430" s="50"/>
      <c r="H430" s="50"/>
      <c r="I430" s="50"/>
    </row>
    <row r="431" spans="4:9">
      <c r="D431" s="49">
        <v>45218</v>
      </c>
      <c r="E431" s="50">
        <v>888.6</v>
      </c>
      <c r="F431" s="50"/>
      <c r="G431" s="50"/>
      <c r="H431" s="50"/>
      <c r="I431" s="50"/>
    </row>
    <row r="432" spans="4:9">
      <c r="D432" s="49">
        <v>45217</v>
      </c>
      <c r="E432" s="50">
        <v>884.74</v>
      </c>
      <c r="F432" s="50"/>
      <c r="G432" s="50"/>
      <c r="H432" s="50"/>
      <c r="I432" s="50"/>
    </row>
    <row r="433" spans="4:9">
      <c r="D433" s="49">
        <v>45216</v>
      </c>
      <c r="E433" s="50">
        <v>884.82</v>
      </c>
      <c r="F433" s="50"/>
      <c r="G433" s="50"/>
      <c r="H433" s="50"/>
      <c r="I433" s="50"/>
    </row>
    <row r="434" spans="4:9">
      <c r="D434" s="49">
        <v>45215</v>
      </c>
      <c r="E434" s="50">
        <v>870.46</v>
      </c>
      <c r="F434" s="50"/>
      <c r="G434" s="50"/>
      <c r="H434" s="50"/>
      <c r="I434" s="50"/>
    </row>
    <row r="435" spans="4:9">
      <c r="D435" s="49">
        <v>45212</v>
      </c>
      <c r="E435" s="50">
        <v>870.46</v>
      </c>
      <c r="F435" s="50"/>
      <c r="G435" s="50"/>
      <c r="H435" s="50"/>
      <c r="I435" s="50"/>
    </row>
    <row r="436" spans="4:9">
      <c r="D436" s="49">
        <v>45211</v>
      </c>
      <c r="E436" s="50">
        <v>870.46</v>
      </c>
      <c r="F436" s="50"/>
      <c r="G436" s="50"/>
      <c r="H436" s="50"/>
      <c r="I436" s="50"/>
    </row>
    <row r="437" spans="4:9">
      <c r="D437" s="49">
        <v>45210</v>
      </c>
      <c r="E437" s="50">
        <v>854.74</v>
      </c>
      <c r="F437" s="50"/>
      <c r="G437" s="50"/>
      <c r="H437" s="50"/>
      <c r="I437" s="50"/>
    </row>
    <row r="438" spans="4:9">
      <c r="D438" s="49">
        <v>45209</v>
      </c>
      <c r="E438" s="50">
        <v>844.81</v>
      </c>
      <c r="F438" s="50"/>
      <c r="G438" s="50"/>
      <c r="H438" s="50"/>
      <c r="I438" s="50"/>
    </row>
    <row r="439" spans="4:9">
      <c r="D439" s="49">
        <v>45208</v>
      </c>
      <c r="E439" s="50">
        <v>840.01</v>
      </c>
      <c r="F439" s="50"/>
      <c r="G439" s="50"/>
      <c r="H439" s="50"/>
      <c r="I439" s="50"/>
    </row>
    <row r="440" spans="4:9">
      <c r="D440" s="49">
        <v>45205</v>
      </c>
      <c r="E440" s="50">
        <v>812.75</v>
      </c>
      <c r="F440" s="50"/>
      <c r="G440" s="50"/>
      <c r="H440" s="50"/>
      <c r="I440" s="50"/>
    </row>
    <row r="441" spans="4:9">
      <c r="D441" s="49">
        <v>45204</v>
      </c>
      <c r="E441" s="50">
        <v>784.83</v>
      </c>
      <c r="F441" s="50"/>
      <c r="G441" s="50"/>
      <c r="H441" s="50"/>
      <c r="I441" s="50"/>
    </row>
    <row r="442" spans="4:9">
      <c r="D442" s="49">
        <v>45203</v>
      </c>
      <c r="E442" s="50">
        <v>747.68</v>
      </c>
      <c r="F442" s="50"/>
      <c r="G442" s="50"/>
      <c r="H442" s="50"/>
      <c r="I442" s="50"/>
    </row>
    <row r="443" spans="4:9">
      <c r="D443" s="49">
        <v>45202</v>
      </c>
      <c r="E443" s="50">
        <v>720.62</v>
      </c>
      <c r="F443" s="50"/>
      <c r="G443" s="50"/>
      <c r="H443" s="50"/>
      <c r="I443" s="50"/>
    </row>
    <row r="444" spans="4:9">
      <c r="D444" s="49">
        <v>45201</v>
      </c>
      <c r="E444" s="50">
        <v>709.83</v>
      </c>
      <c r="F444" s="50"/>
      <c r="G444" s="50"/>
      <c r="H444" s="50"/>
      <c r="I444" s="50"/>
    </row>
    <row r="445" spans="4:9">
      <c r="D445" s="49">
        <v>45198</v>
      </c>
      <c r="E445" s="50">
        <v>701.01</v>
      </c>
      <c r="F445" s="50"/>
      <c r="G445" s="50"/>
      <c r="H445" s="50"/>
      <c r="I445" s="50"/>
    </row>
    <row r="446" spans="4:9">
      <c r="D446" s="49">
        <v>45197</v>
      </c>
      <c r="E446" s="50">
        <v>694.89</v>
      </c>
      <c r="F446" s="50"/>
      <c r="G446" s="50"/>
      <c r="H446" s="50"/>
      <c r="I446" s="50"/>
    </row>
    <row r="447" spans="4:9">
      <c r="D447" s="49">
        <v>45196</v>
      </c>
      <c r="E447" s="50">
        <v>689.85</v>
      </c>
      <c r="F447" s="50"/>
      <c r="G447" s="50"/>
      <c r="H447" s="50"/>
      <c r="I447" s="50"/>
    </row>
    <row r="448" spans="4:9">
      <c r="D448" s="49">
        <v>45195</v>
      </c>
      <c r="E448" s="50">
        <v>685.58</v>
      </c>
      <c r="F448" s="50"/>
      <c r="G448" s="50"/>
      <c r="H448" s="50"/>
      <c r="I448" s="50"/>
    </row>
    <row r="449" spans="4:9">
      <c r="D449" s="49">
        <v>45194</v>
      </c>
      <c r="E449" s="50">
        <v>683.01</v>
      </c>
      <c r="F449" s="50"/>
      <c r="G449" s="50"/>
      <c r="H449" s="50"/>
      <c r="I449" s="50"/>
    </row>
    <row r="450" spans="4:9">
      <c r="D450" s="49">
        <v>45191</v>
      </c>
      <c r="E450" s="50">
        <v>682.08</v>
      </c>
      <c r="F450" s="50"/>
      <c r="G450" s="50"/>
      <c r="H450" s="50"/>
      <c r="I450" s="50"/>
    </row>
    <row r="451" spans="4:9">
      <c r="D451" s="49">
        <v>45190</v>
      </c>
      <c r="E451" s="50">
        <v>680.85</v>
      </c>
      <c r="F451" s="50"/>
      <c r="G451" s="50"/>
      <c r="H451" s="50"/>
      <c r="I451" s="50"/>
    </row>
    <row r="452" spans="4:9">
      <c r="D452" s="49">
        <v>45189</v>
      </c>
      <c r="E452" s="50">
        <v>679.95</v>
      </c>
      <c r="F452" s="50"/>
      <c r="G452" s="50"/>
      <c r="H452" s="50"/>
      <c r="I452" s="50"/>
    </row>
    <row r="453" spans="4:9">
      <c r="D453" s="49">
        <v>45188</v>
      </c>
      <c r="E453" s="50">
        <v>680.08</v>
      </c>
      <c r="F453" s="50"/>
      <c r="G453" s="50"/>
      <c r="H453" s="50"/>
      <c r="I453" s="50"/>
    </row>
    <row r="454" spans="4:9">
      <c r="D454" s="49">
        <v>45187</v>
      </c>
      <c r="E454" s="50">
        <v>679.36</v>
      </c>
      <c r="F454" s="50"/>
      <c r="G454" s="50"/>
      <c r="H454" s="50"/>
      <c r="I454" s="50"/>
    </row>
    <row r="455" spans="4:9">
      <c r="D455" s="49">
        <v>45184</v>
      </c>
      <c r="E455" s="50">
        <v>678.68</v>
      </c>
      <c r="F455" s="50"/>
      <c r="G455" s="50"/>
      <c r="H455" s="50"/>
      <c r="I455" s="50"/>
    </row>
    <row r="456" spans="4:9">
      <c r="D456" s="49">
        <v>45183</v>
      </c>
      <c r="E456" s="50">
        <v>677.79</v>
      </c>
      <c r="F456" s="50"/>
      <c r="G456" s="50"/>
      <c r="H456" s="50"/>
      <c r="I456" s="50"/>
    </row>
    <row r="457" spans="4:9">
      <c r="D457" s="49">
        <v>45182</v>
      </c>
      <c r="E457" s="50">
        <v>676.32</v>
      </c>
      <c r="F457" s="50"/>
      <c r="G457" s="50"/>
      <c r="H457" s="50"/>
      <c r="I457" s="50"/>
    </row>
    <row r="458" spans="4:9">
      <c r="D458" s="49">
        <v>45181</v>
      </c>
      <c r="E458" s="50">
        <v>676.46</v>
      </c>
      <c r="F458" s="50"/>
      <c r="G458" s="50"/>
      <c r="H458" s="50"/>
      <c r="I458" s="50"/>
    </row>
    <row r="459" spans="4:9">
      <c r="D459" s="49">
        <v>45180</v>
      </c>
      <c r="E459" s="50">
        <v>675.54</v>
      </c>
      <c r="F459" s="50"/>
      <c r="G459" s="50"/>
      <c r="H459" s="50"/>
      <c r="I459" s="50"/>
    </row>
    <row r="460" spans="4:9">
      <c r="D460" s="49">
        <v>45177</v>
      </c>
      <c r="E460" s="50">
        <v>673.36</v>
      </c>
      <c r="F460" s="50"/>
      <c r="G460" s="50"/>
      <c r="H460" s="50"/>
      <c r="I460" s="50"/>
    </row>
    <row r="461" spans="4:9">
      <c r="D461" s="49">
        <v>45176</v>
      </c>
      <c r="E461" s="50">
        <v>674.84</v>
      </c>
      <c r="F461" s="50"/>
      <c r="G461" s="50"/>
      <c r="H461" s="50"/>
      <c r="I461" s="50"/>
    </row>
    <row r="462" spans="4:9">
      <c r="D462" s="49">
        <v>45175</v>
      </c>
      <c r="E462" s="50">
        <v>673.47</v>
      </c>
      <c r="F462" s="50"/>
      <c r="G462" s="50"/>
      <c r="H462" s="50"/>
      <c r="I462" s="50"/>
    </row>
    <row r="463" spans="4:9">
      <c r="D463" s="49">
        <v>45174</v>
      </c>
      <c r="E463" s="50">
        <v>672.34</v>
      </c>
      <c r="F463" s="50"/>
      <c r="G463" s="50"/>
      <c r="H463" s="50"/>
      <c r="I463" s="50"/>
    </row>
    <row r="464" spans="4:9">
      <c r="D464" s="49">
        <v>45173</v>
      </c>
      <c r="E464" s="50">
        <v>672.62</v>
      </c>
      <c r="F464" s="50"/>
      <c r="G464" s="50"/>
      <c r="H464" s="50"/>
      <c r="I464" s="50"/>
    </row>
    <row r="465" spans="4:9">
      <c r="D465" s="49">
        <v>45170</v>
      </c>
      <c r="E465" s="50">
        <v>670.37</v>
      </c>
      <c r="F465" s="50"/>
      <c r="G465" s="50"/>
      <c r="H465" s="50"/>
      <c r="I465" s="50"/>
    </row>
    <row r="466" spans="4:9">
      <c r="D466" s="49">
        <v>45169</v>
      </c>
      <c r="E466" s="50">
        <v>670.83</v>
      </c>
      <c r="F466" s="50"/>
      <c r="G466" s="50"/>
      <c r="H466" s="50"/>
      <c r="I466" s="50"/>
    </row>
    <row r="467" spans="4:9">
      <c r="D467" s="49">
        <v>45168</v>
      </c>
      <c r="E467" s="50">
        <v>670.99</v>
      </c>
      <c r="F467" s="50"/>
      <c r="G467" s="50"/>
      <c r="H467" s="50"/>
      <c r="I467" s="50"/>
    </row>
    <row r="468" spans="4:9">
      <c r="D468" s="49">
        <v>45167</v>
      </c>
      <c r="E468" s="50">
        <v>671.02</v>
      </c>
      <c r="F468" s="50"/>
      <c r="G468" s="50"/>
      <c r="H468" s="50"/>
      <c r="I468" s="50"/>
    </row>
    <row r="469" spans="4:9">
      <c r="D469" s="49">
        <v>45166</v>
      </c>
      <c r="E469" s="50">
        <v>667.95</v>
      </c>
      <c r="F469" s="50"/>
      <c r="G469" s="50"/>
      <c r="H469" s="50"/>
      <c r="I469" s="50"/>
    </row>
    <row r="470" spans="4:9">
      <c r="D470" s="49">
        <v>45163</v>
      </c>
      <c r="E470" s="50">
        <v>664.97</v>
      </c>
      <c r="F470" s="50"/>
      <c r="G470" s="50"/>
      <c r="H470" s="50"/>
      <c r="I470" s="50"/>
    </row>
    <row r="471" spans="4:9">
      <c r="D471" s="49">
        <v>45162</v>
      </c>
      <c r="E471" s="50">
        <v>665.4</v>
      </c>
      <c r="F471" s="50"/>
      <c r="G471" s="50"/>
      <c r="H471" s="50"/>
      <c r="I471" s="50"/>
    </row>
    <row r="472" spans="4:9">
      <c r="D472" s="49">
        <v>45161</v>
      </c>
      <c r="E472" s="50">
        <v>661.32</v>
      </c>
      <c r="F472" s="50"/>
      <c r="G472" s="50"/>
      <c r="H472" s="50"/>
      <c r="I472" s="50"/>
    </row>
    <row r="473" spans="4:9">
      <c r="D473" s="49">
        <v>45160</v>
      </c>
      <c r="E473" s="50">
        <v>658.88</v>
      </c>
      <c r="F473" s="50"/>
      <c r="G473" s="50"/>
      <c r="H473" s="50"/>
      <c r="I473" s="50"/>
    </row>
    <row r="474" spans="4:9">
      <c r="D474" s="49">
        <v>45159</v>
      </c>
      <c r="E474" s="50">
        <v>657.48</v>
      </c>
      <c r="F474" s="50"/>
      <c r="G474" s="50"/>
      <c r="H474" s="50"/>
      <c r="I474" s="50"/>
    </row>
    <row r="475" spans="4:9">
      <c r="D475" s="49">
        <v>45156</v>
      </c>
      <c r="E475" s="50">
        <v>657.48</v>
      </c>
      <c r="F475" s="50"/>
      <c r="G475" s="50"/>
      <c r="H475" s="50"/>
      <c r="I475" s="50"/>
    </row>
    <row r="476" spans="4:9">
      <c r="D476" s="49">
        <v>45155</v>
      </c>
      <c r="E476" s="50">
        <v>659.49</v>
      </c>
      <c r="F476" s="50"/>
      <c r="G476" s="50"/>
      <c r="H476" s="50"/>
      <c r="I476" s="50"/>
    </row>
    <row r="477" spans="4:9">
      <c r="D477" s="49">
        <v>45154</v>
      </c>
      <c r="E477" s="50">
        <v>651.41999999999996</v>
      </c>
      <c r="F477" s="50"/>
      <c r="G477" s="50"/>
      <c r="H477" s="50"/>
      <c r="I477" s="50"/>
    </row>
    <row r="478" spans="4:9">
      <c r="D478" s="49">
        <v>45153</v>
      </c>
      <c r="E478" s="50">
        <v>667.17</v>
      </c>
      <c r="F478" s="50"/>
      <c r="G478" s="50"/>
      <c r="H478" s="50"/>
      <c r="I478" s="50"/>
    </row>
    <row r="479" spans="4:9">
      <c r="D479" s="49">
        <v>45152</v>
      </c>
      <c r="E479" s="50">
        <v>621.14</v>
      </c>
      <c r="F479" s="50"/>
      <c r="G479" s="50"/>
      <c r="H479" s="50"/>
      <c r="I479" s="50"/>
    </row>
    <row r="480" spans="4:9">
      <c r="D480" s="49">
        <v>45149</v>
      </c>
      <c r="E480" s="50">
        <v>539.89</v>
      </c>
      <c r="F480" s="50"/>
      <c r="G480" s="50"/>
      <c r="H480" s="50"/>
      <c r="I480" s="50"/>
    </row>
    <row r="481" spans="4:9">
      <c r="D481" s="49">
        <v>45148</v>
      </c>
      <c r="E481" s="50">
        <v>529.82000000000005</v>
      </c>
      <c r="F481" s="50"/>
      <c r="G481" s="50"/>
      <c r="H481" s="50"/>
      <c r="I481" s="50"/>
    </row>
    <row r="482" spans="4:9">
      <c r="D482" s="49">
        <v>45147</v>
      </c>
      <c r="E482" s="50">
        <v>527.91999999999996</v>
      </c>
      <c r="F482" s="50"/>
      <c r="G482" s="50"/>
      <c r="H482" s="50"/>
      <c r="I482" s="50"/>
    </row>
    <row r="483" spans="4:9">
      <c r="D483" s="49">
        <v>45146</v>
      </c>
      <c r="E483" s="50">
        <v>521.91999999999996</v>
      </c>
      <c r="F483" s="50"/>
      <c r="G483" s="50"/>
      <c r="H483" s="50"/>
      <c r="I483" s="50"/>
    </row>
    <row r="484" spans="4:9">
      <c r="D484" s="49">
        <v>45145</v>
      </c>
      <c r="E484" s="50">
        <v>516.70000000000005</v>
      </c>
      <c r="F484" s="50"/>
      <c r="G484" s="50"/>
      <c r="H484" s="50"/>
      <c r="I484" s="50"/>
    </row>
    <row r="485" spans="4:9">
      <c r="D485" s="49">
        <v>45142</v>
      </c>
      <c r="E485" s="50">
        <v>514.71</v>
      </c>
      <c r="F485" s="50"/>
      <c r="G485" s="50"/>
      <c r="H485" s="50"/>
      <c r="I485" s="50"/>
    </row>
    <row r="486" spans="4:9">
      <c r="D486" s="49">
        <v>45141</v>
      </c>
      <c r="E486" s="50">
        <v>513.99</v>
      </c>
      <c r="F486" s="50"/>
      <c r="G486" s="50"/>
      <c r="H486" s="50"/>
      <c r="I486" s="50"/>
    </row>
    <row r="487" spans="4:9">
      <c r="D487" s="49">
        <v>45140</v>
      </c>
      <c r="E487" s="50">
        <v>512.54</v>
      </c>
      <c r="F487" s="50"/>
      <c r="G487" s="50"/>
      <c r="H487" s="50"/>
      <c r="I487" s="50"/>
    </row>
    <row r="488" spans="4:9">
      <c r="D488" s="49">
        <v>45139</v>
      </c>
      <c r="E488" s="50">
        <v>509.45</v>
      </c>
      <c r="F488" s="50"/>
      <c r="G488" s="50"/>
      <c r="H488" s="50"/>
      <c r="I488" s="50"/>
    </row>
    <row r="489" spans="4:9">
      <c r="D489" s="49">
        <v>45138</v>
      </c>
      <c r="E489" s="50">
        <v>509.1</v>
      </c>
      <c r="F489" s="50"/>
      <c r="G489" s="50"/>
      <c r="H489" s="50"/>
      <c r="I489" s="50"/>
    </row>
    <row r="490" spans="4:9">
      <c r="D490" s="49">
        <v>45135</v>
      </c>
      <c r="E490" s="50">
        <v>508.01</v>
      </c>
      <c r="F490" s="50"/>
      <c r="G490" s="50"/>
      <c r="H490" s="50"/>
      <c r="I490" s="50"/>
    </row>
    <row r="491" spans="4:9">
      <c r="D491" s="49">
        <v>45134</v>
      </c>
      <c r="E491" s="50">
        <v>510.62</v>
      </c>
      <c r="F491" s="50"/>
      <c r="G491" s="50"/>
      <c r="H491" s="50"/>
      <c r="I491" s="50"/>
    </row>
    <row r="492" spans="4:9">
      <c r="D492" s="49">
        <v>45133</v>
      </c>
      <c r="E492" s="50">
        <v>503.9</v>
      </c>
      <c r="F492" s="50"/>
      <c r="G492" s="50"/>
      <c r="H492" s="50"/>
      <c r="I492" s="50"/>
    </row>
    <row r="493" spans="4:9">
      <c r="D493" s="49">
        <v>45132</v>
      </c>
      <c r="E493" s="50">
        <v>507.12</v>
      </c>
      <c r="F493" s="50"/>
      <c r="G493" s="50"/>
      <c r="H493" s="50"/>
      <c r="I493" s="50"/>
    </row>
    <row r="494" spans="4:9">
      <c r="D494" s="49">
        <v>45131</v>
      </c>
      <c r="E494" s="50">
        <v>497.09</v>
      </c>
      <c r="F494" s="50"/>
      <c r="G494" s="50"/>
      <c r="H494" s="50"/>
      <c r="I494" s="50"/>
    </row>
    <row r="495" spans="4:9">
      <c r="D495" s="49">
        <v>45128</v>
      </c>
      <c r="E495" s="50">
        <v>498.08</v>
      </c>
      <c r="F495" s="50"/>
      <c r="G495" s="50"/>
      <c r="H495" s="50"/>
      <c r="I495" s="50"/>
    </row>
    <row r="496" spans="4:9">
      <c r="D496" s="49">
        <v>45127</v>
      </c>
      <c r="E496" s="50">
        <v>495.84</v>
      </c>
      <c r="F496" s="50"/>
      <c r="G496" s="50"/>
      <c r="H496" s="50"/>
      <c r="I496" s="50"/>
    </row>
    <row r="497" spans="4:9">
      <c r="D497" s="49">
        <v>45126</v>
      </c>
      <c r="E497" s="50">
        <v>494.65</v>
      </c>
      <c r="F497" s="50"/>
      <c r="G497" s="50"/>
      <c r="H497" s="50"/>
      <c r="I497" s="50"/>
    </row>
    <row r="498" spans="4:9">
      <c r="D498" s="49">
        <v>45125</v>
      </c>
      <c r="E498" s="50">
        <v>494.9</v>
      </c>
      <c r="F498" s="50"/>
      <c r="G498" s="50"/>
      <c r="H498" s="50"/>
      <c r="I498" s="50"/>
    </row>
    <row r="499" spans="4:9">
      <c r="D499" s="49">
        <v>45124</v>
      </c>
      <c r="E499" s="50">
        <v>499.86</v>
      </c>
      <c r="F499" s="50"/>
      <c r="G499" s="50"/>
      <c r="H499" s="50"/>
      <c r="I499" s="50"/>
    </row>
    <row r="500" spans="4:9">
      <c r="D500" s="49">
        <v>45121</v>
      </c>
      <c r="E500" s="50">
        <v>499.71</v>
      </c>
      <c r="F500" s="50"/>
      <c r="G500" s="50"/>
      <c r="H500" s="50"/>
      <c r="I500" s="50"/>
    </row>
    <row r="501" spans="4:9">
      <c r="D501" s="49">
        <v>45120</v>
      </c>
      <c r="E501" s="50">
        <v>498.73</v>
      </c>
      <c r="F501" s="50"/>
      <c r="G501" s="50"/>
      <c r="H501" s="50"/>
      <c r="I501" s="50"/>
    </row>
    <row r="502" spans="4:9">
      <c r="D502" s="49">
        <v>45119</v>
      </c>
      <c r="E502" s="50">
        <v>488.65</v>
      </c>
      <c r="F502" s="50"/>
      <c r="G502" s="50"/>
      <c r="H502" s="50"/>
      <c r="I502" s="50"/>
    </row>
    <row r="503" spans="4:9">
      <c r="D503" s="49">
        <v>45118</v>
      </c>
      <c r="E503" s="50">
        <v>488.64</v>
      </c>
      <c r="F503" s="50"/>
      <c r="G503" s="50"/>
      <c r="H503" s="50"/>
      <c r="I503" s="50"/>
    </row>
    <row r="504" spans="4:9">
      <c r="D504" s="49">
        <v>45117</v>
      </c>
      <c r="E504" s="50">
        <v>490.4</v>
      </c>
      <c r="F504" s="50"/>
      <c r="G504" s="50"/>
      <c r="H504" s="50"/>
      <c r="I504" s="50"/>
    </row>
    <row r="505" spans="4:9">
      <c r="D505" s="49">
        <v>45114</v>
      </c>
      <c r="E505" s="50">
        <v>484.78</v>
      </c>
      <c r="F505" s="50"/>
      <c r="G505" s="50"/>
      <c r="H505" s="50"/>
      <c r="I505" s="50"/>
    </row>
    <row r="506" spans="4:9">
      <c r="D506" s="49">
        <v>45113</v>
      </c>
      <c r="E506" s="50">
        <v>484.68</v>
      </c>
      <c r="F506" s="50"/>
      <c r="G506" s="50"/>
      <c r="H506" s="50"/>
      <c r="I506" s="50"/>
    </row>
    <row r="507" spans="4:9">
      <c r="D507" s="49">
        <v>45112</v>
      </c>
      <c r="E507" s="50">
        <v>480.37</v>
      </c>
      <c r="F507" s="50"/>
      <c r="G507" s="50"/>
      <c r="H507" s="50"/>
      <c r="I507" s="50"/>
    </row>
    <row r="508" spans="4:9">
      <c r="D508" s="49">
        <v>45111</v>
      </c>
      <c r="E508" s="50">
        <v>482.9</v>
      </c>
      <c r="F508" s="50"/>
      <c r="G508" s="50"/>
      <c r="H508" s="50"/>
      <c r="I508" s="50"/>
    </row>
    <row r="509" spans="4:9">
      <c r="D509" s="49">
        <v>45110</v>
      </c>
      <c r="E509" s="50">
        <v>483.45</v>
      </c>
      <c r="F509" s="50"/>
      <c r="G509" s="50"/>
      <c r="H509" s="50"/>
      <c r="I509" s="50"/>
    </row>
    <row r="510" spans="4:9">
      <c r="D510" s="49">
        <v>45107</v>
      </c>
      <c r="E510" s="50">
        <v>484.69</v>
      </c>
      <c r="F510" s="50"/>
      <c r="G510" s="50"/>
      <c r="H510" s="50"/>
      <c r="I510" s="50"/>
    </row>
    <row r="511" spans="4:9">
      <c r="D511" s="49">
        <v>45106</v>
      </c>
      <c r="E511" s="50">
        <v>482.23</v>
      </c>
      <c r="F511" s="50"/>
      <c r="G511" s="50"/>
      <c r="H511" s="50"/>
      <c r="I511" s="50"/>
    </row>
    <row r="512" spans="4:9">
      <c r="D512" s="49">
        <v>45105</v>
      </c>
      <c r="E512" s="50">
        <v>484.01</v>
      </c>
      <c r="F512" s="50"/>
      <c r="G512" s="50"/>
      <c r="H512" s="50"/>
      <c r="I512" s="50"/>
    </row>
    <row r="513" spans="4:9">
      <c r="D513" s="49">
        <v>45104</v>
      </c>
      <c r="E513" s="50">
        <v>483.43</v>
      </c>
      <c r="F513" s="50"/>
      <c r="G513" s="50"/>
      <c r="H513" s="50"/>
      <c r="I513" s="50"/>
    </row>
    <row r="514" spans="4:9">
      <c r="D514" s="49">
        <v>45103</v>
      </c>
      <c r="E514" s="50">
        <v>479.79</v>
      </c>
      <c r="F514" s="50"/>
      <c r="G514" s="50"/>
      <c r="H514" s="50"/>
      <c r="I514" s="50"/>
    </row>
    <row r="515" spans="4:9">
      <c r="D515" s="49">
        <v>45100</v>
      </c>
      <c r="E515" s="50">
        <v>486.66</v>
      </c>
      <c r="F515" s="50"/>
      <c r="G515" s="50"/>
      <c r="H515" s="50"/>
      <c r="I515" s="50"/>
    </row>
    <row r="516" spans="4:9">
      <c r="D516" s="49">
        <v>45099</v>
      </c>
      <c r="E516" s="50">
        <v>482.51</v>
      </c>
      <c r="F516" s="50"/>
      <c r="G516" s="50"/>
      <c r="H516" s="50"/>
      <c r="I516" s="50"/>
    </row>
    <row r="517" spans="4:9">
      <c r="D517" s="49">
        <v>45098</v>
      </c>
      <c r="E517" s="50">
        <v>476.46</v>
      </c>
      <c r="F517" s="50"/>
      <c r="G517" s="50"/>
      <c r="H517" s="50"/>
      <c r="I517" s="50"/>
    </row>
    <row r="518" spans="4:9">
      <c r="D518" s="49">
        <v>45097</v>
      </c>
      <c r="E518" s="50">
        <v>479.35</v>
      </c>
      <c r="F518" s="50"/>
      <c r="G518" s="50"/>
      <c r="H518" s="50"/>
      <c r="I518" s="50"/>
    </row>
    <row r="519" spans="4:9">
      <c r="D519" s="49">
        <v>45096</v>
      </c>
      <c r="E519" s="50">
        <v>479.35</v>
      </c>
      <c r="F519" s="50"/>
      <c r="G519" s="50"/>
      <c r="H519" s="50"/>
      <c r="I519" s="50"/>
    </row>
    <row r="520" spans="4:9">
      <c r="D520" s="49">
        <v>45093</v>
      </c>
      <c r="E520" s="50">
        <v>479.35</v>
      </c>
      <c r="F520" s="50"/>
      <c r="G520" s="50"/>
      <c r="H520" s="50"/>
      <c r="I520" s="50"/>
    </row>
    <row r="521" spans="4:9">
      <c r="D521" s="49">
        <v>45092</v>
      </c>
      <c r="E521" s="50">
        <v>474.59</v>
      </c>
      <c r="F521" s="50"/>
      <c r="G521" s="50"/>
      <c r="H521" s="50"/>
      <c r="I521" s="50"/>
    </row>
    <row r="522" spans="4:9">
      <c r="D522" s="49">
        <v>45091</v>
      </c>
      <c r="E522" s="50">
        <v>474.98</v>
      </c>
      <c r="F522" s="50"/>
      <c r="G522" s="50"/>
      <c r="H522" s="50"/>
      <c r="I522" s="50"/>
    </row>
    <row r="523" spans="4:9">
      <c r="D523" s="49">
        <v>45090</v>
      </c>
      <c r="E523" s="50">
        <v>473.19</v>
      </c>
      <c r="F523" s="50"/>
      <c r="G523" s="50"/>
      <c r="H523" s="50"/>
      <c r="I523" s="50"/>
    </row>
    <row r="524" spans="4:9">
      <c r="D524" s="49">
        <v>45089</v>
      </c>
      <c r="E524" s="50">
        <v>474.49</v>
      </c>
      <c r="F524" s="50"/>
      <c r="G524" s="50"/>
      <c r="H524" s="50"/>
      <c r="I524" s="50"/>
    </row>
    <row r="525" spans="4:9">
      <c r="D525" s="49">
        <v>45086</v>
      </c>
      <c r="E525" s="50">
        <v>473.5</v>
      </c>
      <c r="F525" s="50"/>
      <c r="G525" s="50"/>
      <c r="H525" s="50"/>
      <c r="I525" s="50"/>
    </row>
    <row r="526" spans="4:9">
      <c r="D526" s="49">
        <v>45085</v>
      </c>
      <c r="E526" s="50">
        <v>473.92</v>
      </c>
      <c r="F526" s="50"/>
      <c r="G526" s="50"/>
      <c r="H526" s="50"/>
      <c r="I526" s="50"/>
    </row>
    <row r="527" spans="4:9">
      <c r="D527" s="49">
        <v>45084</v>
      </c>
      <c r="E527" s="50">
        <v>472.76</v>
      </c>
      <c r="F527" s="50"/>
      <c r="G527" s="50"/>
      <c r="H527" s="50"/>
      <c r="I527" s="50"/>
    </row>
    <row r="528" spans="4:9">
      <c r="D528" s="49">
        <v>45083</v>
      </c>
      <c r="E528" s="50">
        <v>473.87</v>
      </c>
      <c r="F528" s="50"/>
      <c r="G528" s="50"/>
      <c r="H528" s="50"/>
      <c r="I528" s="50"/>
    </row>
    <row r="529" spans="4:9">
      <c r="D529" s="49">
        <v>45082</v>
      </c>
      <c r="E529" s="50">
        <v>472.29</v>
      </c>
      <c r="F529" s="50"/>
      <c r="G529" s="50"/>
      <c r="H529" s="50"/>
      <c r="I529" s="50"/>
    </row>
    <row r="530" spans="4:9">
      <c r="D530" s="49">
        <v>45079</v>
      </c>
      <c r="E530" s="50">
        <v>469.09</v>
      </c>
      <c r="F530" s="50"/>
      <c r="G530" s="50"/>
      <c r="H530" s="50"/>
      <c r="I530" s="50"/>
    </row>
    <row r="531" spans="4:9">
      <c r="D531" s="49">
        <v>45078</v>
      </c>
      <c r="E531" s="50">
        <v>467.03</v>
      </c>
      <c r="F531" s="50"/>
      <c r="G531" s="50"/>
      <c r="H531" s="50"/>
      <c r="I531" s="50"/>
    </row>
    <row r="532" spans="4:9">
      <c r="D532" s="49">
        <v>45077</v>
      </c>
      <c r="E532" s="50">
        <v>466.98</v>
      </c>
      <c r="F532" s="50"/>
      <c r="G532" s="50"/>
      <c r="H532" s="50"/>
      <c r="I532" s="50"/>
    </row>
    <row r="533" spans="4:9">
      <c r="D533" s="49">
        <v>45076</v>
      </c>
      <c r="E533" s="50">
        <v>462.32</v>
      </c>
      <c r="F533" s="50"/>
      <c r="G533" s="50"/>
      <c r="H533" s="50"/>
      <c r="I533" s="50"/>
    </row>
    <row r="534" spans="4:9">
      <c r="D534" s="49">
        <v>45075</v>
      </c>
      <c r="E534" s="50">
        <v>459.51</v>
      </c>
      <c r="F534" s="50"/>
      <c r="G534" s="50"/>
      <c r="H534" s="50"/>
      <c r="I534" s="50"/>
    </row>
    <row r="535" spans="4:9">
      <c r="D535" s="49">
        <v>45072</v>
      </c>
      <c r="E535" s="50">
        <v>459.55</v>
      </c>
      <c r="F535" s="50"/>
      <c r="G535" s="50"/>
      <c r="H535" s="50"/>
      <c r="I535" s="50"/>
    </row>
    <row r="536" spans="4:9">
      <c r="D536" s="49">
        <v>45071</v>
      </c>
      <c r="E536" s="50">
        <v>459.55</v>
      </c>
      <c r="F536" s="50"/>
      <c r="G536" s="50"/>
      <c r="H536" s="50"/>
      <c r="I536" s="50"/>
    </row>
    <row r="537" spans="4:9">
      <c r="D537" s="49">
        <v>45070</v>
      </c>
      <c r="E537" s="50">
        <v>462.35</v>
      </c>
      <c r="F537" s="50"/>
      <c r="G537" s="50"/>
      <c r="H537" s="50"/>
      <c r="I537" s="50"/>
    </row>
    <row r="538" spans="4:9">
      <c r="D538" s="49">
        <v>45069</v>
      </c>
      <c r="E538" s="50">
        <v>466.09</v>
      </c>
      <c r="F538" s="50"/>
      <c r="G538" s="50"/>
      <c r="H538" s="50"/>
      <c r="I538" s="50"/>
    </row>
    <row r="539" spans="4:9">
      <c r="D539" s="49">
        <v>45068</v>
      </c>
      <c r="E539" s="50">
        <v>464.27</v>
      </c>
      <c r="F539" s="50"/>
      <c r="G539" s="50"/>
      <c r="H539" s="50"/>
      <c r="I539" s="50"/>
    </row>
    <row r="540" spans="4:9">
      <c r="D540" s="49">
        <v>45065</v>
      </c>
      <c r="E540" s="50">
        <v>465.42</v>
      </c>
      <c r="F540" s="50"/>
      <c r="G540" s="50"/>
      <c r="H540" s="50"/>
      <c r="I540" s="50"/>
    </row>
    <row r="541" spans="4:9">
      <c r="D541" s="49">
        <v>45064</v>
      </c>
      <c r="E541" s="50">
        <v>473.5</v>
      </c>
      <c r="F541" s="50"/>
      <c r="G541" s="50"/>
      <c r="H541" s="50"/>
      <c r="I541" s="50"/>
    </row>
    <row r="542" spans="4:9">
      <c r="D542" s="49">
        <v>45063</v>
      </c>
      <c r="E542" s="50">
        <v>444.08</v>
      </c>
      <c r="F542" s="50"/>
      <c r="G542" s="50"/>
      <c r="H542" s="50"/>
      <c r="I542" s="50"/>
    </row>
    <row r="543" spans="4:9">
      <c r="D543" s="49">
        <v>45062</v>
      </c>
      <c r="E543" s="50">
        <v>442.43</v>
      </c>
      <c r="F543" s="50"/>
      <c r="G543" s="50"/>
      <c r="H543" s="50"/>
      <c r="I543" s="50"/>
    </row>
    <row r="544" spans="4:9">
      <c r="D544" s="49">
        <v>45061</v>
      </c>
      <c r="E544" s="50">
        <v>437.66</v>
      </c>
      <c r="F544" s="50"/>
      <c r="G544" s="50"/>
      <c r="H544" s="50"/>
      <c r="I544" s="50"/>
    </row>
    <row r="545" spans="4:9">
      <c r="D545" s="49">
        <v>45058</v>
      </c>
      <c r="E545" s="50">
        <v>434.31</v>
      </c>
      <c r="F545" s="50"/>
      <c r="G545" s="50"/>
      <c r="H545" s="50"/>
      <c r="I545" s="50"/>
    </row>
    <row r="546" spans="4:9">
      <c r="D546" s="49">
        <v>45057</v>
      </c>
      <c r="E546" s="50">
        <v>440.07</v>
      </c>
      <c r="F546" s="50"/>
      <c r="G546" s="50"/>
      <c r="H546" s="50"/>
      <c r="I546" s="50"/>
    </row>
    <row r="547" spans="4:9">
      <c r="D547" s="49">
        <v>45056</v>
      </c>
      <c r="E547" s="50">
        <v>436.09</v>
      </c>
      <c r="F547" s="50"/>
      <c r="G547" s="50"/>
      <c r="H547" s="50"/>
      <c r="I547" s="50"/>
    </row>
    <row r="548" spans="4:9">
      <c r="D548" s="49">
        <v>45055</v>
      </c>
      <c r="E548" s="50">
        <v>432.08</v>
      </c>
      <c r="F548" s="50"/>
      <c r="G548" s="50"/>
      <c r="H548" s="50"/>
      <c r="I548" s="50"/>
    </row>
    <row r="549" spans="4:9">
      <c r="D549" s="49">
        <v>45054</v>
      </c>
      <c r="E549" s="50">
        <v>432.08</v>
      </c>
      <c r="F549" s="50"/>
      <c r="G549" s="50"/>
      <c r="H549" s="50"/>
      <c r="I549" s="50"/>
    </row>
    <row r="550" spans="4:9">
      <c r="D550" s="49">
        <v>45051</v>
      </c>
      <c r="E550" s="50">
        <v>432.35</v>
      </c>
      <c r="F550" s="50"/>
      <c r="G550" s="50"/>
      <c r="H550" s="50"/>
      <c r="I550" s="50"/>
    </row>
    <row r="551" spans="4:9">
      <c r="D551" s="49">
        <v>45050</v>
      </c>
      <c r="E551" s="50">
        <v>430.19</v>
      </c>
      <c r="F551" s="50"/>
      <c r="G551" s="50"/>
      <c r="H551" s="50"/>
      <c r="I551" s="50"/>
    </row>
    <row r="552" spans="4:9">
      <c r="D552" s="49">
        <v>45049</v>
      </c>
      <c r="E552" s="50">
        <v>431.03</v>
      </c>
      <c r="F552" s="50"/>
      <c r="G552" s="50"/>
      <c r="H552" s="50"/>
      <c r="I552" s="50"/>
    </row>
    <row r="553" spans="4:9">
      <c r="D553" s="49">
        <v>45048</v>
      </c>
      <c r="E553" s="50">
        <v>428.84</v>
      </c>
      <c r="F553" s="50"/>
      <c r="G553" s="50"/>
      <c r="H553" s="50"/>
      <c r="I553" s="50"/>
    </row>
    <row r="554" spans="4:9">
      <c r="D554" s="49">
        <v>45047</v>
      </c>
      <c r="E554" s="50">
        <v>436.05</v>
      </c>
      <c r="F554" s="50"/>
      <c r="G554" s="50"/>
      <c r="H554" s="50"/>
      <c r="I554" s="50"/>
    </row>
    <row r="555" spans="4:9">
      <c r="D555" s="49">
        <v>45044</v>
      </c>
      <c r="E555" s="50">
        <v>436.05</v>
      </c>
      <c r="F555" s="50"/>
      <c r="G555" s="50"/>
      <c r="H555" s="50"/>
      <c r="I555" s="50"/>
    </row>
    <row r="556" spans="4:9">
      <c r="D556" s="49">
        <v>45043</v>
      </c>
      <c r="E556" s="50">
        <v>442.23</v>
      </c>
      <c r="F556" s="50"/>
      <c r="G556" s="50"/>
      <c r="H556" s="50"/>
      <c r="I556" s="50"/>
    </row>
    <row r="557" spans="4:9">
      <c r="D557" s="49">
        <v>45042</v>
      </c>
      <c r="E557" s="50">
        <v>446.43</v>
      </c>
      <c r="F557" s="50"/>
      <c r="G557" s="50"/>
      <c r="H557" s="50"/>
      <c r="I557" s="50"/>
    </row>
    <row r="558" spans="4:9">
      <c r="D558" s="49">
        <v>45041</v>
      </c>
      <c r="E558" s="50">
        <v>447.5</v>
      </c>
      <c r="F558" s="50"/>
      <c r="G558" s="50"/>
      <c r="H558" s="50"/>
      <c r="I558" s="50"/>
    </row>
    <row r="559" spans="4:9">
      <c r="D559" s="49">
        <v>45040</v>
      </c>
      <c r="E559" s="50">
        <v>449.02</v>
      </c>
      <c r="F559" s="50"/>
      <c r="G559" s="50"/>
      <c r="H559" s="50"/>
      <c r="I559" s="50"/>
    </row>
    <row r="560" spans="4:9">
      <c r="D560" s="49">
        <v>45037</v>
      </c>
      <c r="E560" s="50">
        <v>437.75</v>
      </c>
      <c r="F560" s="50"/>
      <c r="G560" s="50"/>
      <c r="H560" s="50"/>
      <c r="I560" s="50"/>
    </row>
    <row r="561" spans="4:9">
      <c r="D561" s="49">
        <v>45036</v>
      </c>
      <c r="E561" s="50">
        <v>421.9</v>
      </c>
      <c r="F561" s="50"/>
      <c r="G561" s="50"/>
      <c r="H561" s="50"/>
      <c r="I561" s="50"/>
    </row>
    <row r="562" spans="4:9">
      <c r="D562" s="49">
        <v>45035</v>
      </c>
      <c r="E562" s="50">
        <v>409.77</v>
      </c>
      <c r="F562" s="50"/>
      <c r="G562" s="50"/>
      <c r="H562" s="50"/>
      <c r="I562" s="50"/>
    </row>
    <row r="563" spans="4:9">
      <c r="D563" s="49">
        <v>45034</v>
      </c>
      <c r="E563" s="50">
        <v>408.86</v>
      </c>
      <c r="F563" s="50"/>
      <c r="G563" s="50"/>
      <c r="H563" s="50"/>
      <c r="I563" s="50"/>
    </row>
    <row r="564" spans="4:9">
      <c r="D564" s="49">
        <v>45033</v>
      </c>
      <c r="E564" s="50">
        <v>395.45</v>
      </c>
      <c r="F564" s="50"/>
      <c r="G564" s="50"/>
      <c r="H564" s="50"/>
      <c r="I564" s="50"/>
    </row>
    <row r="565" spans="4:9">
      <c r="D565" s="49">
        <v>45030</v>
      </c>
      <c r="E565" s="50">
        <v>398.62</v>
      </c>
      <c r="F565" s="50"/>
      <c r="G565" s="50"/>
      <c r="H565" s="50"/>
      <c r="I565" s="50"/>
    </row>
    <row r="566" spans="4:9">
      <c r="D566" s="49">
        <v>45029</v>
      </c>
      <c r="E566" s="50">
        <v>388.14</v>
      </c>
      <c r="F566" s="50"/>
      <c r="G566" s="50"/>
      <c r="H566" s="50"/>
      <c r="I566" s="50"/>
    </row>
    <row r="567" spans="4:9">
      <c r="D567" s="49">
        <v>45028</v>
      </c>
      <c r="E567" s="50">
        <v>386.34</v>
      </c>
      <c r="F567" s="50"/>
      <c r="G567" s="50"/>
      <c r="H567" s="50"/>
      <c r="I567" s="50"/>
    </row>
    <row r="568" spans="4:9">
      <c r="D568" s="49">
        <v>45027</v>
      </c>
      <c r="E568" s="50">
        <v>387</v>
      </c>
      <c r="F568" s="50"/>
      <c r="G568" s="50"/>
      <c r="H568" s="50"/>
      <c r="I568" s="50"/>
    </row>
    <row r="569" spans="4:9">
      <c r="D569" s="49">
        <v>45026</v>
      </c>
      <c r="E569" s="50">
        <v>390.71</v>
      </c>
      <c r="F569" s="50"/>
      <c r="G569" s="50"/>
      <c r="H569" s="50"/>
      <c r="I569" s="50"/>
    </row>
    <row r="570" spans="4:9">
      <c r="D570" s="49">
        <v>45023</v>
      </c>
      <c r="E570" s="50">
        <v>396.6</v>
      </c>
      <c r="F570" s="50"/>
      <c r="G570" s="50"/>
      <c r="H570" s="50"/>
      <c r="I570" s="50"/>
    </row>
    <row r="571" spans="4:9">
      <c r="D571" s="49">
        <v>45022</v>
      </c>
      <c r="E571" s="50">
        <v>396.6</v>
      </c>
      <c r="F571" s="50"/>
      <c r="G571" s="50"/>
      <c r="H571" s="50"/>
      <c r="I571" s="50"/>
    </row>
    <row r="572" spans="4:9">
      <c r="D572" s="49">
        <v>45021</v>
      </c>
      <c r="E572" s="50">
        <v>396.6</v>
      </c>
      <c r="F572" s="50"/>
      <c r="G572" s="50"/>
      <c r="H572" s="50"/>
      <c r="I572" s="50"/>
    </row>
    <row r="573" spans="4:9">
      <c r="D573" s="49">
        <v>45020</v>
      </c>
      <c r="E573" s="50">
        <v>402.41</v>
      </c>
      <c r="F573" s="50"/>
      <c r="G573" s="50"/>
      <c r="H573" s="50"/>
      <c r="I573" s="50"/>
    </row>
    <row r="574" spans="4:9">
      <c r="D574" s="49">
        <v>45019</v>
      </c>
      <c r="E574" s="50">
        <v>396.94</v>
      </c>
      <c r="F574" s="50"/>
      <c r="G574" s="50"/>
      <c r="H574" s="50"/>
      <c r="I574" s="50"/>
    </row>
    <row r="575" spans="4:9">
      <c r="D575" s="49">
        <v>45016</v>
      </c>
      <c r="E575" s="50">
        <v>397.37</v>
      </c>
      <c r="F575" s="50"/>
      <c r="G575" s="50"/>
      <c r="H575" s="50"/>
      <c r="I575" s="50"/>
    </row>
    <row r="576" spans="4:9">
      <c r="D576" s="49">
        <v>45015</v>
      </c>
      <c r="E576" s="50">
        <v>391.82</v>
      </c>
      <c r="F576" s="50"/>
      <c r="G576" s="50"/>
      <c r="H576" s="50"/>
      <c r="I576" s="50"/>
    </row>
    <row r="577" spans="4:9">
      <c r="D577" s="49">
        <v>45014</v>
      </c>
      <c r="E577" s="50">
        <v>386.81</v>
      </c>
      <c r="F577" s="50"/>
      <c r="G577" s="50"/>
      <c r="H577" s="50"/>
      <c r="I577" s="50"/>
    </row>
    <row r="578" spans="4:9">
      <c r="D578" s="49">
        <v>45013</v>
      </c>
      <c r="E578" s="50">
        <v>383.55</v>
      </c>
      <c r="F578" s="50"/>
      <c r="G578" s="50"/>
      <c r="H578" s="50"/>
      <c r="I578" s="50"/>
    </row>
    <row r="579" spans="4:9">
      <c r="D579" s="49">
        <v>45012</v>
      </c>
      <c r="E579" s="50">
        <v>376.4</v>
      </c>
      <c r="F579" s="50"/>
      <c r="G579" s="50"/>
      <c r="H579" s="50"/>
      <c r="I579" s="50"/>
    </row>
    <row r="580" spans="4:9">
      <c r="D580" s="49">
        <v>45009</v>
      </c>
      <c r="E580" s="50">
        <v>375.72</v>
      </c>
      <c r="F580" s="50"/>
      <c r="G580" s="50"/>
      <c r="H580" s="50"/>
      <c r="I580" s="50"/>
    </row>
    <row r="581" spans="4:9">
      <c r="D581" s="49">
        <v>45008</v>
      </c>
      <c r="E581" s="50">
        <v>375.72</v>
      </c>
      <c r="F581" s="50"/>
      <c r="G581" s="50"/>
      <c r="H581" s="50"/>
      <c r="I581" s="50"/>
    </row>
    <row r="582" spans="4:9">
      <c r="D582" s="49">
        <v>45007</v>
      </c>
      <c r="E582" s="50">
        <v>387.1</v>
      </c>
      <c r="F582" s="50"/>
      <c r="G582" s="50"/>
      <c r="H582" s="50"/>
      <c r="I582" s="50"/>
    </row>
    <row r="583" spans="4:9">
      <c r="D583" s="49">
        <v>45006</v>
      </c>
      <c r="E583" s="50">
        <v>385.98</v>
      </c>
      <c r="F583" s="50"/>
      <c r="G583" s="50"/>
      <c r="H583" s="50"/>
      <c r="I583" s="50"/>
    </row>
    <row r="584" spans="4:9">
      <c r="D584" s="49">
        <v>45005</v>
      </c>
      <c r="E584" s="50">
        <v>387.63</v>
      </c>
      <c r="F584" s="50"/>
      <c r="G584" s="50"/>
      <c r="H584" s="50"/>
      <c r="I584" s="50"/>
    </row>
    <row r="585" spans="4:9">
      <c r="D585" s="49">
        <v>45002</v>
      </c>
      <c r="E585" s="50">
        <v>388.84</v>
      </c>
      <c r="F585" s="50"/>
      <c r="G585" s="50"/>
      <c r="H585" s="50"/>
      <c r="I585" s="50"/>
    </row>
    <row r="586" spans="4:9">
      <c r="D586" s="49">
        <v>45001</v>
      </c>
      <c r="E586" s="50">
        <v>388.76</v>
      </c>
      <c r="F586" s="50"/>
      <c r="G586" s="50"/>
      <c r="H586" s="50"/>
      <c r="I586" s="50"/>
    </row>
    <row r="587" spans="4:9">
      <c r="D587" s="49">
        <v>45000</v>
      </c>
      <c r="E587" s="50">
        <v>383.31</v>
      </c>
      <c r="F587" s="50"/>
      <c r="G587" s="50"/>
      <c r="H587" s="50"/>
      <c r="I587" s="50"/>
    </row>
    <row r="588" spans="4:9">
      <c r="D588" s="49">
        <v>44999</v>
      </c>
      <c r="E588" s="50">
        <v>377.76</v>
      </c>
      <c r="F588" s="50"/>
      <c r="G588" s="50"/>
      <c r="H588" s="50"/>
      <c r="I588" s="50"/>
    </row>
    <row r="589" spans="4:9">
      <c r="D589" s="49">
        <v>44998</v>
      </c>
      <c r="E589" s="50">
        <v>379.51</v>
      </c>
      <c r="F589" s="50"/>
      <c r="G589" s="50"/>
      <c r="H589" s="50"/>
      <c r="I589" s="50"/>
    </row>
    <row r="590" spans="4:9">
      <c r="D590" s="49">
        <v>44995</v>
      </c>
      <c r="E590" s="50">
        <v>380.64</v>
      </c>
      <c r="F590" s="50"/>
      <c r="G590" s="50"/>
      <c r="H590" s="50"/>
      <c r="I590" s="50"/>
    </row>
    <row r="591" spans="4:9">
      <c r="D591" s="49">
        <v>44994</v>
      </c>
      <c r="E591" s="50">
        <v>375.43</v>
      </c>
      <c r="F591" s="50"/>
      <c r="G591" s="50"/>
      <c r="H591" s="50"/>
      <c r="I591" s="50"/>
    </row>
    <row r="592" spans="4:9">
      <c r="D592" s="49">
        <v>44993</v>
      </c>
      <c r="E592" s="50">
        <v>372.86</v>
      </c>
      <c r="F592" s="50"/>
      <c r="G592" s="50"/>
      <c r="H592" s="50"/>
      <c r="I592" s="50"/>
    </row>
    <row r="593" spans="4:9">
      <c r="D593" s="49">
        <v>44992</v>
      </c>
      <c r="E593" s="50">
        <v>366.97</v>
      </c>
      <c r="F593" s="50"/>
      <c r="G593" s="50"/>
      <c r="H593" s="50"/>
      <c r="I593" s="50"/>
    </row>
    <row r="594" spans="4:9">
      <c r="D594" s="49">
        <v>44991</v>
      </c>
      <c r="E594" s="50">
        <v>362.42</v>
      </c>
      <c r="F594" s="50"/>
      <c r="G594" s="50"/>
      <c r="H594" s="50"/>
      <c r="I594" s="50"/>
    </row>
    <row r="595" spans="4:9">
      <c r="D595" s="49">
        <v>44988</v>
      </c>
      <c r="E595" s="50">
        <v>366.5</v>
      </c>
      <c r="F595" s="50"/>
      <c r="G595" s="50"/>
      <c r="H595" s="50"/>
      <c r="I595" s="50"/>
    </row>
    <row r="596" spans="4:9">
      <c r="D596" s="49">
        <v>44987</v>
      </c>
      <c r="E596" s="50">
        <v>364.81</v>
      </c>
      <c r="F596" s="50"/>
      <c r="G596" s="50"/>
      <c r="H596" s="50"/>
      <c r="I596" s="50"/>
    </row>
    <row r="597" spans="4:9">
      <c r="D597" s="49">
        <v>44986</v>
      </c>
      <c r="E597" s="50">
        <v>359.78</v>
      </c>
      <c r="F597" s="50"/>
      <c r="G597" s="50"/>
      <c r="H597" s="50"/>
      <c r="I597" s="50"/>
    </row>
    <row r="598" spans="4:9">
      <c r="D598" s="49">
        <v>44985</v>
      </c>
      <c r="E598" s="50">
        <v>357.47</v>
      </c>
      <c r="F598" s="50"/>
      <c r="G598" s="50"/>
      <c r="H598" s="50"/>
      <c r="I598" s="50"/>
    </row>
    <row r="599" spans="4:9">
      <c r="D599" s="49">
        <v>44984</v>
      </c>
      <c r="E599" s="50">
        <v>356.07</v>
      </c>
      <c r="F599" s="50"/>
      <c r="G599" s="50"/>
      <c r="H599" s="50"/>
      <c r="I599" s="50"/>
    </row>
    <row r="600" spans="4:9">
      <c r="D600" s="49">
        <v>44981</v>
      </c>
      <c r="E600" s="50">
        <v>356.78</v>
      </c>
      <c r="F600" s="50"/>
      <c r="G600" s="50"/>
      <c r="H600" s="50"/>
      <c r="I600" s="50"/>
    </row>
    <row r="601" spans="4:9">
      <c r="D601" s="49">
        <v>44980</v>
      </c>
      <c r="E601" s="50">
        <v>357.26</v>
      </c>
      <c r="F601" s="50"/>
      <c r="G601" s="50"/>
      <c r="H601" s="50"/>
      <c r="I601" s="50"/>
    </row>
    <row r="602" spans="4:9">
      <c r="D602" s="49">
        <v>44979</v>
      </c>
      <c r="E602" s="50">
        <v>356.45</v>
      </c>
      <c r="F602" s="50"/>
      <c r="G602" s="50"/>
      <c r="H602" s="50"/>
      <c r="I602" s="50"/>
    </row>
    <row r="603" spans="4:9">
      <c r="D603" s="49">
        <v>44978</v>
      </c>
      <c r="E603" s="50">
        <v>355.59</v>
      </c>
      <c r="F603" s="50"/>
      <c r="G603" s="50"/>
      <c r="H603" s="50"/>
      <c r="I603" s="50"/>
    </row>
    <row r="604" spans="4:9">
      <c r="D604" s="49">
        <v>44977</v>
      </c>
      <c r="E604" s="50">
        <v>355.59</v>
      </c>
      <c r="F604" s="50"/>
      <c r="G604" s="50"/>
      <c r="H604" s="50"/>
      <c r="I604" s="50"/>
    </row>
    <row r="605" spans="4:9">
      <c r="D605" s="49">
        <v>44974</v>
      </c>
      <c r="E605" s="50">
        <v>355.59</v>
      </c>
      <c r="F605" s="50"/>
      <c r="G605" s="50"/>
      <c r="H605" s="50"/>
      <c r="I605" s="50"/>
    </row>
    <row r="606" spans="4:9">
      <c r="D606" s="49">
        <v>44973</v>
      </c>
      <c r="E606" s="50">
        <v>357.61</v>
      </c>
      <c r="F606" s="50"/>
      <c r="G606" s="50"/>
      <c r="H606" s="50"/>
      <c r="I606" s="50"/>
    </row>
    <row r="607" spans="4:9">
      <c r="D607" s="49">
        <v>44972</v>
      </c>
      <c r="E607" s="50">
        <v>356.23</v>
      </c>
      <c r="F607" s="50"/>
      <c r="G607" s="50"/>
      <c r="H607" s="50"/>
      <c r="I607" s="50"/>
    </row>
    <row r="608" spans="4:9">
      <c r="D608" s="49">
        <v>44971</v>
      </c>
      <c r="E608" s="50">
        <v>355.28</v>
      </c>
      <c r="F608" s="50"/>
      <c r="G608" s="50"/>
      <c r="H608" s="50"/>
      <c r="I608" s="50"/>
    </row>
    <row r="609" spans="4:9">
      <c r="D609" s="49">
        <v>44970</v>
      </c>
      <c r="E609" s="50">
        <v>355.27</v>
      </c>
      <c r="F609" s="50"/>
      <c r="G609" s="50"/>
      <c r="H609" s="50"/>
      <c r="I609" s="50"/>
    </row>
    <row r="610" spans="4:9">
      <c r="D610" s="49">
        <v>44967</v>
      </c>
      <c r="E610" s="50">
        <v>354.15</v>
      </c>
      <c r="F610" s="50"/>
      <c r="G610" s="50"/>
      <c r="H610" s="50"/>
      <c r="I610" s="50"/>
    </row>
    <row r="611" spans="4:9">
      <c r="D611" s="49">
        <v>44966</v>
      </c>
      <c r="E611" s="50">
        <v>354.36</v>
      </c>
      <c r="F611" s="50"/>
      <c r="G611" s="50"/>
      <c r="H611" s="50"/>
      <c r="I611" s="50"/>
    </row>
    <row r="612" spans="4:9">
      <c r="D612" s="49">
        <v>44965</v>
      </c>
      <c r="E612" s="50">
        <v>354.95</v>
      </c>
      <c r="F612" s="50"/>
      <c r="G612" s="50"/>
      <c r="H612" s="50"/>
      <c r="I612" s="50"/>
    </row>
    <row r="613" spans="4:9">
      <c r="D613" s="49">
        <v>44964</v>
      </c>
      <c r="E613" s="50">
        <v>353.2</v>
      </c>
      <c r="F613" s="50"/>
      <c r="G613" s="50"/>
      <c r="H613" s="50"/>
      <c r="I613" s="50"/>
    </row>
    <row r="614" spans="4:9">
      <c r="D614" s="49">
        <v>44963</v>
      </c>
      <c r="E614" s="50">
        <v>353.94</v>
      </c>
      <c r="F614" s="50"/>
      <c r="G614" s="50"/>
      <c r="H614" s="50"/>
      <c r="I614" s="50"/>
    </row>
    <row r="615" spans="4:9">
      <c r="D615" s="49">
        <v>44960</v>
      </c>
      <c r="E615" s="50">
        <v>357.36</v>
      </c>
      <c r="F615" s="50"/>
      <c r="G615" s="50"/>
      <c r="H615" s="50"/>
      <c r="I615" s="50"/>
    </row>
    <row r="616" spans="4:9">
      <c r="D616" s="49">
        <v>44959</v>
      </c>
      <c r="E616" s="50">
        <v>354.75</v>
      </c>
      <c r="F616" s="50"/>
      <c r="G616" s="50"/>
      <c r="H616" s="50"/>
      <c r="I616" s="50"/>
    </row>
    <row r="617" spans="4:9">
      <c r="D617" s="49">
        <v>44958</v>
      </c>
      <c r="E617" s="50">
        <v>353.7</v>
      </c>
      <c r="F617" s="50"/>
      <c r="G617" s="50"/>
      <c r="H617" s="50"/>
      <c r="I617" s="50"/>
    </row>
    <row r="618" spans="4:9">
      <c r="D618" s="49">
        <v>44957</v>
      </c>
      <c r="E618" s="50">
        <v>354.81</v>
      </c>
      <c r="F618" s="50"/>
      <c r="G618" s="50"/>
      <c r="H618" s="50"/>
      <c r="I618" s="50"/>
    </row>
    <row r="619" spans="4:9">
      <c r="D619" s="49">
        <v>44956</v>
      </c>
      <c r="E619" s="50">
        <v>353.93</v>
      </c>
      <c r="F619" s="50"/>
      <c r="G619" s="50"/>
      <c r="H619" s="50"/>
      <c r="I619" s="50"/>
    </row>
    <row r="620" spans="4:9">
      <c r="D620" s="49">
        <v>44953</v>
      </c>
      <c r="E620" s="50">
        <v>352.78</v>
      </c>
      <c r="F620" s="50"/>
      <c r="G620" s="50"/>
      <c r="H620" s="50"/>
      <c r="I620" s="50"/>
    </row>
    <row r="621" spans="4:9">
      <c r="D621" s="49">
        <v>44952</v>
      </c>
      <c r="E621" s="50">
        <v>352.22</v>
      </c>
      <c r="F621" s="50"/>
      <c r="G621" s="50"/>
      <c r="H621" s="50"/>
      <c r="I621" s="50"/>
    </row>
    <row r="622" spans="4:9">
      <c r="D622" s="49">
        <v>44951</v>
      </c>
      <c r="E622" s="50">
        <v>351.98</v>
      </c>
      <c r="F622" s="50"/>
      <c r="G622" s="50"/>
      <c r="H622" s="50"/>
      <c r="I622" s="50"/>
    </row>
    <row r="623" spans="4:9">
      <c r="D623" s="49">
        <v>44950</v>
      </c>
      <c r="E623" s="50">
        <v>353.85</v>
      </c>
      <c r="F623" s="50"/>
      <c r="G623" s="50"/>
      <c r="H623" s="50"/>
      <c r="I623" s="50"/>
    </row>
    <row r="624" spans="4:9">
      <c r="D624" s="49">
        <v>44949</v>
      </c>
      <c r="E624" s="50">
        <v>352.21</v>
      </c>
      <c r="F624" s="50"/>
      <c r="G624" s="50"/>
      <c r="H624" s="50"/>
      <c r="I624" s="50"/>
    </row>
    <row r="625" spans="4:9">
      <c r="D625" s="49">
        <v>44946</v>
      </c>
      <c r="E625" s="50">
        <v>352.52</v>
      </c>
      <c r="F625" s="50"/>
      <c r="G625" s="50"/>
      <c r="H625" s="50"/>
      <c r="I625" s="50"/>
    </row>
    <row r="626" spans="4:9">
      <c r="D626" s="49">
        <v>44945</v>
      </c>
      <c r="E626" s="50">
        <v>332.83</v>
      </c>
      <c r="F626" s="50"/>
      <c r="G626" s="50"/>
      <c r="H626" s="50"/>
      <c r="I626" s="50"/>
    </row>
    <row r="627" spans="4:9">
      <c r="D627" s="49">
        <v>44944</v>
      </c>
      <c r="E627" s="50">
        <v>340.3</v>
      </c>
      <c r="F627" s="50"/>
      <c r="G627" s="50"/>
      <c r="H627" s="50"/>
      <c r="I627" s="50"/>
    </row>
    <row r="628" spans="4:9">
      <c r="D628" s="49">
        <v>44943</v>
      </c>
      <c r="E628" s="50">
        <v>341.89</v>
      </c>
      <c r="F628" s="50"/>
      <c r="G628" s="50"/>
      <c r="H628" s="50"/>
      <c r="I628" s="50"/>
    </row>
    <row r="629" spans="4:9">
      <c r="D629" s="49">
        <v>44942</v>
      </c>
      <c r="E629" s="50">
        <v>344.03</v>
      </c>
      <c r="F629" s="50"/>
      <c r="G629" s="50"/>
      <c r="H629" s="50"/>
      <c r="I629" s="50"/>
    </row>
    <row r="630" spans="4:9">
      <c r="D630" s="49">
        <v>44939</v>
      </c>
      <c r="E630" s="50">
        <v>340.23</v>
      </c>
      <c r="F630" s="50"/>
      <c r="G630" s="50"/>
      <c r="H630" s="50"/>
      <c r="I630" s="50"/>
    </row>
    <row r="631" spans="4:9">
      <c r="D631" s="49">
        <v>44938</v>
      </c>
      <c r="E631" s="50">
        <v>342.38</v>
      </c>
      <c r="F631" s="50"/>
      <c r="G631" s="50"/>
      <c r="H631" s="50"/>
      <c r="I631" s="50"/>
    </row>
    <row r="632" spans="4:9">
      <c r="D632" s="49">
        <v>44937</v>
      </c>
      <c r="E632" s="50">
        <v>327.7</v>
      </c>
      <c r="F632" s="50"/>
      <c r="G632" s="50"/>
      <c r="H632" s="50"/>
      <c r="I632" s="50"/>
    </row>
    <row r="633" spans="4:9">
      <c r="D633" s="49">
        <v>44936</v>
      </c>
      <c r="E633" s="50">
        <v>325.87</v>
      </c>
      <c r="F633" s="50"/>
      <c r="G633" s="50"/>
      <c r="H633" s="50"/>
      <c r="I633" s="50"/>
    </row>
    <row r="634" spans="4:9">
      <c r="D634" s="49">
        <v>44935</v>
      </c>
      <c r="E634" s="50">
        <v>327.17</v>
      </c>
      <c r="F634" s="50"/>
      <c r="G634" s="50"/>
      <c r="H634" s="50"/>
      <c r="I634" s="50"/>
    </row>
    <row r="635" spans="4:9">
      <c r="D635" s="49">
        <v>44932</v>
      </c>
      <c r="E635" s="50">
        <v>329.91</v>
      </c>
      <c r="F635" s="50"/>
      <c r="G635" s="50"/>
      <c r="H635" s="50"/>
      <c r="I635" s="50"/>
    </row>
    <row r="636" spans="4:9">
      <c r="D636" s="49">
        <v>44931</v>
      </c>
      <c r="E636" s="50">
        <v>332.67</v>
      </c>
      <c r="F636" s="50"/>
      <c r="G636" s="50"/>
      <c r="H636" s="50"/>
      <c r="I636" s="50"/>
    </row>
    <row r="637" spans="4:9">
      <c r="D637" s="49">
        <v>44930</v>
      </c>
      <c r="E637" s="50">
        <v>334.93</v>
      </c>
      <c r="F637" s="50"/>
      <c r="G637" s="50"/>
      <c r="H637" s="50"/>
      <c r="I637" s="50"/>
    </row>
    <row r="638" spans="4:9">
      <c r="D638" s="49">
        <v>44929</v>
      </c>
      <c r="E638" s="50">
        <v>330.7</v>
      </c>
      <c r="F638" s="50"/>
      <c r="G638" s="50"/>
      <c r="H638" s="50"/>
      <c r="I638" s="50"/>
    </row>
    <row r="639" spans="4:9">
      <c r="D639" s="49">
        <v>44928</v>
      </c>
      <c r="E639" s="50">
        <v>329.21</v>
      </c>
      <c r="F639" s="50"/>
      <c r="G639" s="50"/>
      <c r="H639" s="50"/>
      <c r="I639" s="50"/>
    </row>
    <row r="640" spans="4:9">
      <c r="D640" s="49">
        <v>44925</v>
      </c>
      <c r="E640" s="50">
        <v>327.94</v>
      </c>
      <c r="F640" s="50"/>
      <c r="G640" s="50"/>
      <c r="H640" s="50"/>
      <c r="I640" s="50"/>
    </row>
    <row r="641" spans="4:9">
      <c r="D641" s="49">
        <v>44924</v>
      </c>
      <c r="E641" s="50">
        <v>334.36</v>
      </c>
      <c r="F641" s="50"/>
      <c r="G641" s="50"/>
      <c r="H641" s="50"/>
      <c r="I641" s="50"/>
    </row>
    <row r="642" spans="4:9">
      <c r="D642" s="49">
        <v>44923</v>
      </c>
      <c r="E642" s="50">
        <v>331.63</v>
      </c>
      <c r="F642" s="50"/>
      <c r="G642" s="50"/>
      <c r="H642" s="50"/>
      <c r="I642" s="50"/>
    </row>
    <row r="643" spans="4:9">
      <c r="D643" s="49">
        <v>44922</v>
      </c>
      <c r="E643" s="50">
        <v>335.39</v>
      </c>
      <c r="F643" s="50"/>
      <c r="G643" s="50"/>
      <c r="H643" s="50"/>
      <c r="I643" s="50"/>
    </row>
    <row r="644" spans="4:9">
      <c r="D644" s="49">
        <v>44921</v>
      </c>
      <c r="E644" s="50">
        <v>327.62</v>
      </c>
      <c r="F644" s="50"/>
      <c r="G644" s="50"/>
      <c r="H644" s="50"/>
      <c r="I644" s="50"/>
    </row>
    <row r="645" spans="4:9">
      <c r="D645" s="49">
        <v>44918</v>
      </c>
      <c r="E645" s="50">
        <v>325.70999999999998</v>
      </c>
      <c r="F645" s="50"/>
      <c r="G645" s="50"/>
      <c r="H645" s="50"/>
      <c r="I645" s="50"/>
    </row>
    <row r="646" spans="4:9">
      <c r="D646" s="49">
        <v>44917</v>
      </c>
      <c r="E646" s="50">
        <v>324.25</v>
      </c>
      <c r="F646" s="50"/>
      <c r="G646" s="50"/>
      <c r="H646" s="50"/>
      <c r="I646" s="50"/>
    </row>
    <row r="647" spans="4:9">
      <c r="D647" s="49">
        <v>44916</v>
      </c>
      <c r="E647" s="50">
        <v>322.87</v>
      </c>
      <c r="F647" s="50"/>
      <c r="G647" s="50"/>
      <c r="H647" s="50"/>
      <c r="I647" s="50"/>
    </row>
    <row r="648" spans="4:9">
      <c r="D648" s="49">
        <v>44915</v>
      </c>
      <c r="E648" s="50">
        <v>325.01</v>
      </c>
      <c r="F648" s="50"/>
      <c r="G648" s="50"/>
      <c r="H648" s="50"/>
      <c r="I648" s="50"/>
    </row>
    <row r="649" spans="4:9">
      <c r="D649" s="49">
        <v>44914</v>
      </c>
      <c r="E649" s="50">
        <v>320.89</v>
      </c>
      <c r="F649" s="50"/>
      <c r="G649" s="50"/>
      <c r="H649" s="50"/>
      <c r="I649" s="50"/>
    </row>
    <row r="650" spans="4:9">
      <c r="D650" s="49">
        <v>44911</v>
      </c>
      <c r="E650" s="50">
        <v>320.10000000000002</v>
      </c>
      <c r="F650" s="50"/>
      <c r="G650" s="50"/>
      <c r="H650" s="50"/>
      <c r="I650" s="50"/>
    </row>
    <row r="651" spans="4:9">
      <c r="D651" s="49">
        <v>44910</v>
      </c>
      <c r="E651" s="50">
        <v>320.10000000000002</v>
      </c>
      <c r="F651" s="50"/>
      <c r="G651" s="50"/>
      <c r="H651" s="50"/>
      <c r="I651" s="50"/>
    </row>
    <row r="652" spans="4:9">
      <c r="D652" s="49">
        <v>44909</v>
      </c>
      <c r="E652" s="50">
        <v>322.7</v>
      </c>
      <c r="F652" s="50"/>
      <c r="G652" s="50"/>
      <c r="H652" s="50"/>
      <c r="I652" s="50"/>
    </row>
    <row r="653" spans="4:9">
      <c r="D653" s="49">
        <v>44908</v>
      </c>
      <c r="E653" s="50">
        <v>323.36</v>
      </c>
      <c r="F653" s="50"/>
      <c r="G653" s="50"/>
      <c r="H653" s="50"/>
      <c r="I653" s="50"/>
    </row>
    <row r="654" spans="4:9">
      <c r="D654" s="49">
        <v>44907</v>
      </c>
      <c r="E654" s="50">
        <v>322.35000000000002</v>
      </c>
      <c r="F654" s="50"/>
      <c r="G654" s="50"/>
      <c r="H654" s="50"/>
      <c r="I654" s="50"/>
    </row>
    <row r="655" spans="4:9">
      <c r="D655" s="49">
        <v>44904</v>
      </c>
      <c r="E655" s="50">
        <v>328.98</v>
      </c>
      <c r="F655" s="50"/>
      <c r="G655" s="50"/>
      <c r="H655" s="50"/>
      <c r="I655" s="50"/>
    </row>
    <row r="656" spans="4:9">
      <c r="D656" s="49">
        <v>44903</v>
      </c>
      <c r="E656" s="50">
        <v>328.98</v>
      </c>
      <c r="F656" s="50"/>
      <c r="G656" s="50"/>
      <c r="H656" s="50"/>
      <c r="I656" s="50"/>
    </row>
    <row r="657" spans="4:9">
      <c r="D657" s="49">
        <v>44902</v>
      </c>
      <c r="E657" s="50">
        <v>328.98</v>
      </c>
      <c r="F657" s="50"/>
      <c r="G657" s="50"/>
      <c r="H657" s="50"/>
      <c r="I657" s="50"/>
    </row>
    <row r="658" spans="4:9">
      <c r="D658" s="49">
        <v>44901</v>
      </c>
      <c r="E658" s="50">
        <v>328.88</v>
      </c>
      <c r="F658" s="50"/>
      <c r="G658" s="50"/>
      <c r="H658" s="50"/>
      <c r="I658" s="50"/>
    </row>
    <row r="659" spans="4:9">
      <c r="D659" s="49">
        <v>44900</v>
      </c>
      <c r="E659" s="50">
        <v>319.11</v>
      </c>
      <c r="F659" s="50"/>
      <c r="G659" s="50"/>
      <c r="H659" s="50"/>
      <c r="I659" s="50"/>
    </row>
    <row r="660" spans="4:9">
      <c r="D660" s="49">
        <v>44897</v>
      </c>
      <c r="E660" s="50">
        <v>318.67</v>
      </c>
      <c r="F660" s="50"/>
      <c r="G660" s="50"/>
      <c r="H660" s="50"/>
      <c r="I660" s="50"/>
    </row>
    <row r="661" spans="4:9">
      <c r="D661" s="49">
        <v>44896</v>
      </c>
      <c r="E661" s="50">
        <v>318.57</v>
      </c>
      <c r="F661" s="50"/>
      <c r="G661" s="50"/>
      <c r="H661" s="50"/>
      <c r="I661" s="50"/>
    </row>
    <row r="662" spans="4:9">
      <c r="D662" s="49">
        <v>44895</v>
      </c>
      <c r="E662" s="50">
        <v>312.51</v>
      </c>
      <c r="F662" s="50"/>
      <c r="G662" s="50"/>
      <c r="H662" s="50"/>
      <c r="I662" s="50"/>
    </row>
    <row r="663" spans="4:9">
      <c r="D663" s="49">
        <v>44894</v>
      </c>
      <c r="E663" s="50">
        <v>313.45</v>
      </c>
      <c r="F663" s="50"/>
      <c r="G663" s="50"/>
      <c r="H663" s="50"/>
      <c r="I663" s="50"/>
    </row>
    <row r="664" spans="4:9">
      <c r="D664" s="49">
        <v>44893</v>
      </c>
      <c r="E664" s="50">
        <v>314.02</v>
      </c>
      <c r="F664" s="50"/>
      <c r="G664" s="50"/>
      <c r="H664" s="50"/>
      <c r="I664" s="50"/>
    </row>
    <row r="665" spans="4:9">
      <c r="D665" s="49">
        <v>44890</v>
      </c>
      <c r="E665" s="50">
        <v>316.07</v>
      </c>
      <c r="F665" s="50"/>
      <c r="G665" s="50"/>
      <c r="H665" s="50"/>
      <c r="I665" s="50"/>
    </row>
    <row r="666" spans="4:9">
      <c r="D666" s="49">
        <v>44889</v>
      </c>
      <c r="E666" s="50">
        <v>319.3</v>
      </c>
      <c r="F666" s="50"/>
      <c r="G666" s="50"/>
      <c r="H666" s="50"/>
      <c r="I666" s="50"/>
    </row>
    <row r="667" spans="4:9">
      <c r="D667" s="49">
        <v>44888</v>
      </c>
      <c r="E667" s="50">
        <v>311.81</v>
      </c>
      <c r="F667" s="50"/>
      <c r="G667" s="50"/>
      <c r="H667" s="50"/>
      <c r="I667" s="50"/>
    </row>
    <row r="668" spans="4:9">
      <c r="D668" s="49">
        <v>44887</v>
      </c>
      <c r="E668" s="50">
        <v>312.8</v>
      </c>
      <c r="F668" s="50"/>
      <c r="G668" s="50"/>
      <c r="H668" s="50"/>
      <c r="I668" s="50"/>
    </row>
    <row r="669" spans="4:9">
      <c r="D669" s="49">
        <v>44886</v>
      </c>
      <c r="E669" s="50">
        <v>313.58</v>
      </c>
      <c r="F669" s="50"/>
      <c r="G669" s="50"/>
      <c r="H669" s="50"/>
      <c r="I669" s="50"/>
    </row>
    <row r="670" spans="4:9">
      <c r="D670" s="49">
        <v>44883</v>
      </c>
      <c r="E670" s="50">
        <v>313.58</v>
      </c>
      <c r="F670" s="50"/>
      <c r="G670" s="50"/>
      <c r="H670" s="50"/>
      <c r="I670" s="50"/>
    </row>
    <row r="671" spans="4:9">
      <c r="D671" s="49">
        <v>44882</v>
      </c>
      <c r="E671" s="50">
        <v>313.87</v>
      </c>
      <c r="F671" s="50"/>
      <c r="G671" s="50"/>
      <c r="H671" s="50"/>
      <c r="I671" s="50"/>
    </row>
    <row r="672" spans="4:9">
      <c r="D672" s="49">
        <v>44881</v>
      </c>
      <c r="E672" s="50">
        <v>308.98</v>
      </c>
      <c r="F672" s="50"/>
      <c r="G672" s="50"/>
      <c r="H672" s="50"/>
      <c r="I672" s="50"/>
    </row>
    <row r="673" spans="4:9">
      <c r="D673" s="49">
        <v>44880</v>
      </c>
      <c r="E673" s="50">
        <v>302.06</v>
      </c>
      <c r="F673" s="50"/>
      <c r="G673" s="50"/>
      <c r="H673" s="50"/>
      <c r="I673" s="50"/>
    </row>
    <row r="674" spans="4:9">
      <c r="D674" s="49">
        <v>44879</v>
      </c>
      <c r="E674" s="50">
        <v>299.83999999999997</v>
      </c>
      <c r="F674" s="50"/>
      <c r="G674" s="50"/>
      <c r="H674" s="50"/>
      <c r="I674" s="50"/>
    </row>
    <row r="675" spans="4:9">
      <c r="D675" s="49">
        <v>44876</v>
      </c>
      <c r="E675" s="50">
        <v>297.70999999999998</v>
      </c>
      <c r="F675" s="50"/>
      <c r="G675" s="50"/>
      <c r="H675" s="50"/>
      <c r="I675" s="50"/>
    </row>
    <row r="676" spans="4:9">
      <c r="D676" s="49">
        <v>44875</v>
      </c>
      <c r="E676" s="50">
        <v>296.82</v>
      </c>
      <c r="F676" s="50"/>
      <c r="G676" s="50"/>
      <c r="H676" s="50"/>
      <c r="I676" s="50"/>
    </row>
    <row r="677" spans="4:9">
      <c r="D677" s="49">
        <v>44874</v>
      </c>
      <c r="E677" s="50">
        <v>292.93</v>
      </c>
      <c r="F677" s="50"/>
      <c r="G677" s="50"/>
      <c r="H677" s="50"/>
      <c r="I677" s="50"/>
    </row>
    <row r="678" spans="4:9">
      <c r="D678" s="49">
        <v>44873</v>
      </c>
      <c r="E678" s="50">
        <v>292.37</v>
      </c>
      <c r="F678" s="50"/>
      <c r="G678" s="50"/>
      <c r="H678" s="50"/>
      <c r="I678" s="50"/>
    </row>
    <row r="679" spans="4:9">
      <c r="D679" s="49">
        <v>44872</v>
      </c>
      <c r="E679" s="50">
        <v>289.76</v>
      </c>
      <c r="F679" s="50"/>
      <c r="G679" s="50"/>
      <c r="H679" s="50"/>
      <c r="I679" s="50"/>
    </row>
    <row r="680" spans="4:9">
      <c r="D680" s="49">
        <v>44869</v>
      </c>
      <c r="E680" s="50">
        <v>290.97000000000003</v>
      </c>
      <c r="F680" s="50"/>
      <c r="G680" s="50"/>
      <c r="H680" s="50"/>
      <c r="I680" s="50"/>
    </row>
    <row r="681" spans="4:9">
      <c r="D681" s="49">
        <v>44868</v>
      </c>
      <c r="E681" s="50">
        <v>292.92</v>
      </c>
      <c r="F681" s="50"/>
      <c r="G681" s="50"/>
      <c r="H681" s="50"/>
      <c r="I681" s="50"/>
    </row>
    <row r="682" spans="4:9">
      <c r="D682" s="49">
        <v>44867</v>
      </c>
      <c r="E682" s="50">
        <v>291.17</v>
      </c>
      <c r="F682" s="50"/>
      <c r="G682" s="50"/>
      <c r="H682" s="50"/>
      <c r="I682" s="50"/>
    </row>
    <row r="683" spans="4:9">
      <c r="D683" s="49">
        <v>44866</v>
      </c>
      <c r="E683" s="50">
        <v>292.83999999999997</v>
      </c>
      <c r="F683" s="50"/>
      <c r="G683" s="50"/>
      <c r="H683" s="50"/>
      <c r="I683" s="50"/>
    </row>
    <row r="684" spans="4:9">
      <c r="D684" s="49">
        <v>44865</v>
      </c>
      <c r="E684" s="50">
        <v>293.92</v>
      </c>
      <c r="F684" s="50"/>
      <c r="G684" s="50"/>
      <c r="H684" s="50"/>
      <c r="I684" s="50"/>
    </row>
    <row r="685" spans="4:9">
      <c r="D685" s="49">
        <v>44862</v>
      </c>
      <c r="E685" s="50">
        <v>295.07</v>
      </c>
      <c r="F685" s="50"/>
      <c r="G685" s="50"/>
      <c r="H685" s="50"/>
      <c r="I685" s="50"/>
    </row>
    <row r="686" spans="4:9">
      <c r="D686" s="49">
        <v>44861</v>
      </c>
      <c r="E686" s="50">
        <v>294.64999999999998</v>
      </c>
      <c r="F686" s="50"/>
      <c r="G686" s="50"/>
      <c r="H686" s="50"/>
      <c r="I686" s="50"/>
    </row>
    <row r="687" spans="4:9">
      <c r="D687" s="49">
        <v>44860</v>
      </c>
      <c r="E687" s="50">
        <v>292.27999999999997</v>
      </c>
      <c r="F687" s="50"/>
      <c r="G687" s="50"/>
      <c r="H687" s="50"/>
      <c r="I687" s="50"/>
    </row>
    <row r="688" spans="4:9">
      <c r="D688" s="49">
        <v>44859</v>
      </c>
      <c r="E688" s="50">
        <v>293.63</v>
      </c>
      <c r="F688" s="50"/>
      <c r="G688" s="50"/>
      <c r="H688" s="50"/>
      <c r="I688" s="50"/>
    </row>
    <row r="689" spans="4:9">
      <c r="D689" s="49">
        <v>44858</v>
      </c>
      <c r="E689" s="50">
        <v>291.89</v>
      </c>
      <c r="F689" s="50"/>
      <c r="G689" s="50"/>
      <c r="H689" s="50"/>
      <c r="I689" s="50"/>
    </row>
    <row r="690" spans="4:9">
      <c r="D690" s="49">
        <v>44855</v>
      </c>
      <c r="E690" s="50">
        <v>290.63</v>
      </c>
      <c r="F690" s="50"/>
      <c r="G690" s="50"/>
      <c r="H690" s="50"/>
      <c r="I690" s="50"/>
    </row>
    <row r="691" spans="4:9">
      <c r="D691" s="49">
        <v>44854</v>
      </c>
      <c r="E691" s="50">
        <v>290.87</v>
      </c>
      <c r="F691" s="50"/>
      <c r="G691" s="50"/>
      <c r="H691" s="50"/>
      <c r="I691" s="50"/>
    </row>
    <row r="692" spans="4:9">
      <c r="D692" s="49">
        <v>44853</v>
      </c>
      <c r="E692" s="50">
        <v>292.41000000000003</v>
      </c>
      <c r="F692" s="50"/>
      <c r="G692" s="50"/>
      <c r="H692" s="50"/>
      <c r="I692" s="50"/>
    </row>
    <row r="693" spans="4:9">
      <c r="D693" s="49">
        <v>44852</v>
      </c>
      <c r="E693" s="50">
        <v>293.33</v>
      </c>
      <c r="F693" s="50"/>
      <c r="G693" s="50"/>
      <c r="H693" s="50"/>
      <c r="I693" s="50"/>
    </row>
    <row r="694" spans="4:9">
      <c r="D694" s="49">
        <v>44851</v>
      </c>
      <c r="E694" s="50">
        <v>295.58</v>
      </c>
      <c r="F694" s="50"/>
      <c r="G694" s="50"/>
      <c r="H694" s="50"/>
      <c r="I694" s="50"/>
    </row>
    <row r="695" spans="4:9">
      <c r="D695" s="49">
        <v>44848</v>
      </c>
      <c r="E695" s="50">
        <v>299.04000000000002</v>
      </c>
      <c r="F695" s="50"/>
      <c r="G695" s="50"/>
      <c r="H695" s="50"/>
      <c r="I695" s="50"/>
    </row>
    <row r="696" spans="4:9">
      <c r="D696" s="49">
        <v>44847</v>
      </c>
      <c r="E696" s="50">
        <v>299.42</v>
      </c>
      <c r="F696" s="50"/>
      <c r="G696" s="50"/>
      <c r="H696" s="50"/>
      <c r="I696" s="50"/>
    </row>
    <row r="697" spans="4:9">
      <c r="D697" s="49">
        <v>44846</v>
      </c>
      <c r="E697" s="50">
        <v>293.69</v>
      </c>
      <c r="F697" s="50"/>
      <c r="G697" s="50"/>
      <c r="H697" s="50"/>
      <c r="I697" s="50"/>
    </row>
    <row r="698" spans="4:9">
      <c r="D698" s="49">
        <v>44845</v>
      </c>
      <c r="E698" s="50">
        <v>288.14999999999998</v>
      </c>
      <c r="F698" s="50"/>
      <c r="G698" s="50"/>
      <c r="H698" s="50"/>
      <c r="I698" s="50"/>
    </row>
    <row r="699" spans="4:9">
      <c r="D699" s="49">
        <v>44844</v>
      </c>
      <c r="E699" s="50">
        <v>293.25</v>
      </c>
      <c r="F699" s="50"/>
      <c r="G699" s="50"/>
      <c r="H699" s="50"/>
      <c r="I699" s="50"/>
    </row>
    <row r="700" spans="4:9">
      <c r="D700" s="49">
        <v>44841</v>
      </c>
      <c r="E700" s="50">
        <v>293.25</v>
      </c>
      <c r="F700" s="50"/>
      <c r="G700" s="50"/>
      <c r="H700" s="50"/>
      <c r="I700" s="50"/>
    </row>
    <row r="701" spans="4:9">
      <c r="D701" s="49">
        <v>44840</v>
      </c>
      <c r="E701" s="50">
        <v>293.25</v>
      </c>
      <c r="F701" s="50"/>
      <c r="G701" s="50"/>
      <c r="H701" s="50"/>
      <c r="I701" s="50"/>
    </row>
    <row r="702" spans="4:9">
      <c r="D702" s="49">
        <v>44839</v>
      </c>
      <c r="E702" s="50">
        <v>297.5</v>
      </c>
      <c r="F702" s="50"/>
      <c r="G702" s="50"/>
      <c r="H702" s="50"/>
      <c r="I702" s="50"/>
    </row>
    <row r="703" spans="4:9">
      <c r="D703" s="49">
        <v>44838</v>
      </c>
      <c r="E703" s="50">
        <v>299.77</v>
      </c>
      <c r="F703" s="50"/>
      <c r="G703" s="50"/>
      <c r="H703" s="50"/>
      <c r="I703" s="50"/>
    </row>
    <row r="704" spans="4:9">
      <c r="D704" s="49">
        <v>44837</v>
      </c>
      <c r="E704" s="50">
        <v>297.97000000000003</v>
      </c>
      <c r="F704" s="50"/>
      <c r="G704" s="50"/>
      <c r="H704" s="50"/>
      <c r="I704" s="50"/>
    </row>
    <row r="705" spans="4:9">
      <c r="D705" s="49">
        <v>44834</v>
      </c>
      <c r="E705" s="50">
        <v>302.48</v>
      </c>
      <c r="F705" s="50"/>
      <c r="G705" s="50"/>
      <c r="H705" s="50"/>
      <c r="I705" s="50"/>
    </row>
    <row r="706" spans="4:9">
      <c r="D706" s="49">
        <v>44833</v>
      </c>
      <c r="E706" s="50">
        <v>295.83</v>
      </c>
      <c r="F706" s="50"/>
      <c r="G706" s="50"/>
      <c r="H706" s="50"/>
      <c r="I706" s="50"/>
    </row>
    <row r="707" spans="4:9">
      <c r="D707" s="49">
        <v>44832</v>
      </c>
      <c r="E707" s="50">
        <v>297.99</v>
      </c>
      <c r="F707" s="50"/>
      <c r="G707" s="50"/>
      <c r="H707" s="50"/>
      <c r="I707" s="50"/>
    </row>
    <row r="708" spans="4:9">
      <c r="D708" s="49">
        <v>44831</v>
      </c>
      <c r="E708" s="50">
        <v>296.77999999999997</v>
      </c>
      <c r="F708" s="50"/>
      <c r="G708" s="50"/>
      <c r="H708" s="50"/>
      <c r="I708" s="50"/>
    </row>
    <row r="709" spans="4:9">
      <c r="D709" s="49">
        <v>44830</v>
      </c>
      <c r="E709" s="50">
        <v>298.25</v>
      </c>
      <c r="F709" s="50"/>
      <c r="G709" s="50"/>
      <c r="H709" s="50"/>
      <c r="I709" s="50"/>
    </row>
    <row r="710" spans="4:9">
      <c r="D710" s="49">
        <v>44827</v>
      </c>
      <c r="E710" s="50">
        <v>301.82</v>
      </c>
      <c r="F710" s="50"/>
      <c r="G710" s="50"/>
      <c r="H710" s="50"/>
      <c r="I710" s="50"/>
    </row>
    <row r="711" spans="4:9">
      <c r="D711" s="49">
        <v>44826</v>
      </c>
      <c r="E711" s="50">
        <v>302.19</v>
      </c>
      <c r="F711" s="50"/>
      <c r="G711" s="50"/>
      <c r="H711" s="50"/>
      <c r="I711" s="50"/>
    </row>
    <row r="712" spans="4:9">
      <c r="D712" s="49">
        <v>44825</v>
      </c>
      <c r="E712" s="50">
        <v>297.91000000000003</v>
      </c>
      <c r="F712" s="50"/>
      <c r="G712" s="50"/>
      <c r="H712" s="50"/>
      <c r="I712" s="50"/>
    </row>
    <row r="713" spans="4:9">
      <c r="D713" s="49">
        <v>44824</v>
      </c>
      <c r="E713" s="50">
        <v>295.10000000000002</v>
      </c>
      <c r="F713" s="50"/>
      <c r="G713" s="50"/>
      <c r="H713" s="50"/>
      <c r="I713" s="50"/>
    </row>
    <row r="714" spans="4:9">
      <c r="D714" s="49">
        <v>44823</v>
      </c>
      <c r="E714" s="50">
        <v>297.11</v>
      </c>
      <c r="F714" s="50"/>
      <c r="G714" s="50"/>
      <c r="H714" s="50"/>
      <c r="I714" s="50"/>
    </row>
    <row r="715" spans="4:9">
      <c r="D715" s="49">
        <v>44820</v>
      </c>
      <c r="E715" s="50">
        <v>294.19</v>
      </c>
      <c r="F715" s="50"/>
      <c r="G715" s="50"/>
      <c r="H715" s="50"/>
      <c r="I715" s="50"/>
    </row>
    <row r="716" spans="4:9">
      <c r="D716" s="49">
        <v>44819</v>
      </c>
      <c r="E716" s="50">
        <v>289.66000000000003</v>
      </c>
      <c r="F716" s="50"/>
      <c r="G716" s="50"/>
      <c r="H716" s="50"/>
      <c r="I716" s="50"/>
    </row>
    <row r="717" spans="4:9">
      <c r="D717" s="49">
        <v>44818</v>
      </c>
      <c r="E717" s="50">
        <v>275.45</v>
      </c>
      <c r="F717" s="50"/>
      <c r="G717" s="50"/>
      <c r="H717" s="50"/>
      <c r="I717" s="50"/>
    </row>
    <row r="718" spans="4:9">
      <c r="D718" s="49">
        <v>44817</v>
      </c>
      <c r="E718" s="50">
        <v>269.89999999999998</v>
      </c>
      <c r="F718" s="50"/>
      <c r="G718" s="50"/>
      <c r="H718" s="50"/>
      <c r="I718" s="50"/>
    </row>
    <row r="719" spans="4:9">
      <c r="D719" s="49">
        <v>44816</v>
      </c>
      <c r="E719" s="50">
        <v>269.39</v>
      </c>
      <c r="F719" s="50"/>
      <c r="G719" s="50"/>
      <c r="H719" s="50"/>
      <c r="I719" s="50"/>
    </row>
    <row r="720" spans="4:9">
      <c r="D720" s="49">
        <v>44813</v>
      </c>
      <c r="E720" s="50">
        <v>269.56</v>
      </c>
      <c r="F720" s="50"/>
      <c r="G720" s="50"/>
      <c r="H720" s="50"/>
      <c r="I720" s="50"/>
    </row>
    <row r="721" spans="4:9">
      <c r="D721" s="49">
        <v>44812</v>
      </c>
      <c r="E721" s="50">
        <v>273.02</v>
      </c>
      <c r="F721" s="50"/>
      <c r="G721" s="50"/>
      <c r="H721" s="50"/>
      <c r="I721" s="50"/>
    </row>
    <row r="722" spans="4:9">
      <c r="D722" s="49">
        <v>44811</v>
      </c>
      <c r="E722" s="50">
        <v>271.02999999999997</v>
      </c>
      <c r="F722" s="50"/>
      <c r="G722" s="50"/>
      <c r="H722" s="50"/>
      <c r="I722" s="50"/>
    </row>
    <row r="723" spans="4:9">
      <c r="D723" s="49">
        <v>44810</v>
      </c>
      <c r="E723" s="50">
        <v>270.33999999999997</v>
      </c>
      <c r="F723" s="50"/>
      <c r="G723" s="50"/>
      <c r="H723" s="50"/>
      <c r="I723" s="50"/>
    </row>
    <row r="724" spans="4:9">
      <c r="D724" s="49">
        <v>44809</v>
      </c>
      <c r="E724" s="50">
        <v>271.19</v>
      </c>
      <c r="F724" s="50"/>
      <c r="G724" s="50"/>
      <c r="H724" s="50"/>
      <c r="I724" s="50"/>
    </row>
    <row r="725" spans="4:9">
      <c r="D725" s="49">
        <v>44806</v>
      </c>
      <c r="E725" s="50">
        <v>278.73</v>
      </c>
      <c r="F725" s="50"/>
      <c r="G725" s="50"/>
      <c r="H725" s="50"/>
      <c r="I725" s="50"/>
    </row>
    <row r="726" spans="4:9">
      <c r="D726" s="49">
        <v>44805</v>
      </c>
      <c r="E726" s="50">
        <v>278.73</v>
      </c>
      <c r="F726" s="50"/>
      <c r="G726" s="50"/>
      <c r="H726" s="50"/>
      <c r="I726" s="50"/>
    </row>
    <row r="727" spans="4:9">
      <c r="D727" s="49">
        <v>44804</v>
      </c>
      <c r="E727" s="50">
        <v>283.08</v>
      </c>
      <c r="F727" s="50"/>
      <c r="G727" s="50"/>
      <c r="H727" s="50"/>
      <c r="I727" s="50"/>
    </row>
    <row r="728" spans="4:9">
      <c r="D728" s="49">
        <v>44803</v>
      </c>
      <c r="E728" s="50">
        <v>283.83</v>
      </c>
      <c r="F728" s="50"/>
      <c r="G728" s="50"/>
      <c r="H728" s="50"/>
      <c r="I728" s="50"/>
    </row>
    <row r="729" spans="4:9">
      <c r="D729" s="49">
        <v>44802</v>
      </c>
      <c r="E729" s="50">
        <v>281.77999999999997</v>
      </c>
      <c r="F729" s="50"/>
      <c r="G729" s="50"/>
      <c r="H729" s="50"/>
      <c r="I729" s="50"/>
    </row>
    <row r="730" spans="4:9">
      <c r="D730" s="49">
        <v>44801</v>
      </c>
      <c r="E730" s="50">
        <v>282.57</v>
      </c>
      <c r="F730" s="50"/>
      <c r="G730" s="50"/>
      <c r="H730" s="50"/>
      <c r="I730" s="50"/>
    </row>
    <row r="731" spans="4:9">
      <c r="D731" s="49">
        <v>44800</v>
      </c>
      <c r="E731" s="50">
        <v>282.57</v>
      </c>
      <c r="F731" s="50"/>
      <c r="G731" s="50"/>
      <c r="H731" s="50"/>
      <c r="I731" s="50"/>
    </row>
    <row r="732" spans="4:9">
      <c r="D732" s="49">
        <v>44799</v>
      </c>
      <c r="E732" s="50">
        <v>282.57</v>
      </c>
      <c r="F732" s="50"/>
      <c r="G732" s="50"/>
      <c r="H732" s="50"/>
      <c r="I732" s="50"/>
    </row>
    <row r="733" spans="4:9">
      <c r="D733" s="49">
        <v>44798</v>
      </c>
      <c r="E733" s="50">
        <v>286.60000000000002</v>
      </c>
      <c r="F733" s="50"/>
      <c r="G733" s="50"/>
      <c r="H733" s="50"/>
      <c r="I733" s="50"/>
    </row>
    <row r="734" spans="4:9">
      <c r="D734" s="49">
        <v>44797</v>
      </c>
      <c r="E734" s="50">
        <v>286.60000000000002</v>
      </c>
      <c r="F734" s="50"/>
      <c r="G734" s="50"/>
      <c r="H734" s="50"/>
      <c r="I734" s="50"/>
    </row>
    <row r="735" spans="4:9">
      <c r="D735" s="49">
        <v>44796</v>
      </c>
      <c r="E735" s="50">
        <v>288.14999999999998</v>
      </c>
      <c r="F735" s="50"/>
      <c r="G735" s="50"/>
      <c r="H735" s="50"/>
      <c r="I735" s="50"/>
    </row>
    <row r="736" spans="4:9">
      <c r="D736" s="49">
        <v>44795</v>
      </c>
      <c r="E736" s="50">
        <v>287.88</v>
      </c>
      <c r="F736" s="50"/>
      <c r="G736" s="50"/>
      <c r="H736" s="50"/>
      <c r="I736" s="50"/>
    </row>
    <row r="737" spans="4:9">
      <c r="D737" s="49">
        <v>44794</v>
      </c>
      <c r="E737" s="50">
        <v>292.02999999999997</v>
      </c>
      <c r="F737" s="50"/>
      <c r="G737" s="50"/>
      <c r="H737" s="50"/>
      <c r="I737" s="50"/>
    </row>
    <row r="738" spans="4:9">
      <c r="D738" s="49">
        <v>44793</v>
      </c>
      <c r="E738" s="50">
        <v>292.02999999999997</v>
      </c>
      <c r="F738" s="50"/>
      <c r="G738" s="50"/>
      <c r="H738" s="50"/>
      <c r="I738" s="50"/>
    </row>
    <row r="739" spans="4:9">
      <c r="D739" s="49">
        <v>44792</v>
      </c>
      <c r="E739" s="50">
        <v>292.02999999999997</v>
      </c>
      <c r="F739" s="50"/>
      <c r="G739" s="50"/>
      <c r="H739" s="50"/>
      <c r="I739" s="50"/>
    </row>
    <row r="740" spans="4:9">
      <c r="D740" s="49">
        <v>44791</v>
      </c>
      <c r="E740" s="50">
        <v>288.13</v>
      </c>
      <c r="F740" s="50"/>
      <c r="G740" s="50"/>
      <c r="H740" s="50"/>
      <c r="I740" s="50"/>
    </row>
    <row r="741" spans="4:9">
      <c r="D741" s="49">
        <v>44790</v>
      </c>
      <c r="E741" s="50">
        <v>281.37</v>
      </c>
      <c r="F741" s="50"/>
      <c r="G741" s="50"/>
      <c r="H741" s="50"/>
      <c r="I741" s="50"/>
    </row>
    <row r="742" spans="4:9">
      <c r="D742" s="49">
        <v>44789</v>
      </c>
      <c r="E742" s="50">
        <v>275.77999999999997</v>
      </c>
      <c r="F742" s="50"/>
      <c r="G742" s="50"/>
      <c r="H742" s="50"/>
      <c r="I742" s="50"/>
    </row>
    <row r="743" spans="4:9">
      <c r="D743" s="49">
        <v>44788</v>
      </c>
      <c r="E743" s="50">
        <v>279.12</v>
      </c>
      <c r="F743" s="50"/>
      <c r="G743" s="50"/>
      <c r="H743" s="50"/>
      <c r="I743" s="50"/>
    </row>
    <row r="744" spans="4:9">
      <c r="D744" s="49">
        <v>44787</v>
      </c>
      <c r="E744" s="50">
        <v>279.12</v>
      </c>
      <c r="F744" s="50"/>
      <c r="G744" s="50"/>
      <c r="H744" s="50"/>
      <c r="I744" s="50"/>
    </row>
    <row r="745" spans="4:9">
      <c r="D745" s="49">
        <v>44786</v>
      </c>
      <c r="E745" s="50">
        <v>279.12</v>
      </c>
      <c r="F745" s="50"/>
      <c r="G745" s="50"/>
      <c r="H745" s="50"/>
      <c r="I745" s="50"/>
    </row>
    <row r="746" spans="4:9">
      <c r="D746" s="49">
        <v>44785</v>
      </c>
      <c r="E746" s="50">
        <v>279.12</v>
      </c>
      <c r="F746" s="50"/>
      <c r="G746" s="50"/>
      <c r="H746" s="50"/>
      <c r="I746" s="50"/>
    </row>
    <row r="747" spans="4:9">
      <c r="D747" s="49">
        <v>44784</v>
      </c>
      <c r="E747" s="50">
        <v>279.36</v>
      </c>
      <c r="F747" s="50"/>
      <c r="G747" s="50"/>
      <c r="H747" s="50"/>
      <c r="I747" s="50"/>
    </row>
    <row r="748" spans="4:9">
      <c r="D748" s="49">
        <v>44783</v>
      </c>
      <c r="E748" s="50">
        <v>284.58999999999997</v>
      </c>
      <c r="F748" s="50"/>
      <c r="G748" s="50"/>
      <c r="H748" s="50"/>
      <c r="I748" s="50"/>
    </row>
    <row r="749" spans="4:9">
      <c r="D749" s="49">
        <v>44782</v>
      </c>
      <c r="E749" s="50">
        <v>279.2</v>
      </c>
      <c r="F749" s="50"/>
      <c r="G749" s="50"/>
      <c r="H749" s="50"/>
      <c r="I749" s="50"/>
    </row>
    <row r="750" spans="4:9">
      <c r="D750" s="49">
        <v>44781</v>
      </c>
      <c r="E750" s="50">
        <v>278.94</v>
      </c>
      <c r="F750" s="50"/>
      <c r="G750" s="50"/>
      <c r="H750" s="50"/>
      <c r="I750" s="50"/>
    </row>
    <row r="751" spans="4:9">
      <c r="D751" s="49">
        <v>44780</v>
      </c>
      <c r="E751" s="50">
        <v>278.77999999999997</v>
      </c>
      <c r="F751" s="50"/>
      <c r="G751" s="50"/>
      <c r="H751" s="50"/>
      <c r="I751" s="50"/>
    </row>
    <row r="752" spans="4:9">
      <c r="D752" s="49">
        <v>44779</v>
      </c>
      <c r="E752" s="50">
        <v>278.77999999999997</v>
      </c>
      <c r="F752" s="50"/>
      <c r="G752" s="50"/>
      <c r="H752" s="50"/>
      <c r="I752" s="50"/>
    </row>
    <row r="753" spans="4:9">
      <c r="D753" s="49">
        <v>44778</v>
      </c>
      <c r="E753" s="50">
        <v>278.77999999999997</v>
      </c>
      <c r="F753" s="50"/>
      <c r="G753" s="50"/>
      <c r="H753" s="50"/>
      <c r="I753" s="50"/>
    </row>
    <row r="754" spans="4:9">
      <c r="D754" s="49">
        <v>44777</v>
      </c>
      <c r="E754" s="50">
        <v>284.47000000000003</v>
      </c>
      <c r="F754" s="50"/>
      <c r="G754" s="50"/>
      <c r="H754" s="50"/>
      <c r="I754" s="50"/>
    </row>
    <row r="755" spans="4:9">
      <c r="D755" s="49">
        <v>44776</v>
      </c>
      <c r="E755" s="50">
        <v>281.02</v>
      </c>
      <c r="F755" s="50"/>
      <c r="G755" s="50"/>
      <c r="H755" s="50"/>
      <c r="I755" s="50"/>
    </row>
    <row r="756" spans="4:9">
      <c r="D756" s="49">
        <v>44775</v>
      </c>
      <c r="E756" s="50">
        <v>276.66000000000003</v>
      </c>
      <c r="F756" s="50"/>
      <c r="G756" s="50"/>
      <c r="H756" s="50"/>
      <c r="I756" s="50"/>
    </row>
    <row r="757" spans="4:9">
      <c r="D757" s="49">
        <v>44774</v>
      </c>
      <c r="E757" s="50">
        <v>272.48</v>
      </c>
      <c r="F757" s="50"/>
      <c r="G757" s="50"/>
      <c r="H757" s="50"/>
      <c r="I757" s="50"/>
    </row>
    <row r="758" spans="4:9">
      <c r="D758" s="49">
        <v>44773</v>
      </c>
      <c r="E758" s="50">
        <v>276.70999999999998</v>
      </c>
      <c r="F758" s="50"/>
      <c r="G758" s="50"/>
      <c r="H758" s="50"/>
      <c r="I758" s="50"/>
    </row>
    <row r="759" spans="4:9">
      <c r="D759" s="49">
        <v>44772</v>
      </c>
      <c r="E759" s="50">
        <v>276.70999999999998</v>
      </c>
      <c r="F759" s="50"/>
      <c r="G759" s="50"/>
      <c r="H759" s="50"/>
      <c r="I759" s="50"/>
    </row>
    <row r="760" spans="4:9">
      <c r="D760" s="49">
        <v>44771</v>
      </c>
      <c r="E760" s="50">
        <v>276.70999999999998</v>
      </c>
      <c r="F760" s="50"/>
      <c r="G760" s="50"/>
      <c r="H760" s="50"/>
      <c r="I760" s="50"/>
    </row>
    <row r="761" spans="4:9">
      <c r="D761" s="49">
        <v>44770</v>
      </c>
      <c r="E761" s="50">
        <v>298.16000000000003</v>
      </c>
      <c r="F761" s="50"/>
      <c r="G761" s="50"/>
      <c r="H761" s="50"/>
      <c r="I761" s="50"/>
    </row>
    <row r="762" spans="4:9">
      <c r="D762" s="49">
        <v>44769</v>
      </c>
      <c r="E762" s="50">
        <v>323.77</v>
      </c>
      <c r="F762" s="50"/>
      <c r="G762" s="50"/>
      <c r="H762" s="50"/>
      <c r="I762" s="50"/>
    </row>
    <row r="763" spans="4:9">
      <c r="D763" s="49">
        <v>44768</v>
      </c>
      <c r="E763" s="50">
        <v>324.88</v>
      </c>
      <c r="F763" s="50"/>
      <c r="G763" s="50"/>
      <c r="H763" s="50"/>
      <c r="I763" s="50"/>
    </row>
    <row r="764" spans="4:9">
      <c r="D764" s="49">
        <v>44767</v>
      </c>
      <c r="E764" s="50">
        <v>319.72000000000003</v>
      </c>
      <c r="F764" s="50"/>
      <c r="G764" s="50"/>
      <c r="H764" s="50"/>
      <c r="I764" s="50"/>
    </row>
    <row r="765" spans="4:9">
      <c r="D765" s="49">
        <v>44766</v>
      </c>
      <c r="E765" s="50">
        <v>315.5</v>
      </c>
      <c r="F765" s="50"/>
      <c r="G765" s="50"/>
      <c r="H765" s="50"/>
      <c r="I765" s="50"/>
    </row>
    <row r="766" spans="4:9">
      <c r="D766" s="49">
        <v>44765</v>
      </c>
      <c r="E766" s="50">
        <v>315.5</v>
      </c>
      <c r="F766" s="50"/>
      <c r="G766" s="50"/>
      <c r="H766" s="50"/>
      <c r="I766" s="50"/>
    </row>
    <row r="767" spans="4:9">
      <c r="D767" s="49">
        <v>44764</v>
      </c>
      <c r="E767" s="50">
        <v>315.5</v>
      </c>
      <c r="F767" s="50"/>
      <c r="G767" s="50"/>
      <c r="H767" s="50"/>
      <c r="I767" s="50"/>
    </row>
    <row r="768" spans="4:9">
      <c r="D768" s="49">
        <v>44763</v>
      </c>
      <c r="E768" s="50">
        <v>326.08999999999997</v>
      </c>
      <c r="F768" s="50"/>
      <c r="G768" s="50"/>
      <c r="H768" s="50"/>
      <c r="I768" s="50"/>
    </row>
    <row r="769" spans="4:9">
      <c r="D769" s="49">
        <v>44762</v>
      </c>
      <c r="E769" s="50">
        <v>303.44</v>
      </c>
      <c r="F769" s="50"/>
      <c r="G769" s="50"/>
      <c r="H769" s="50"/>
      <c r="I769" s="50"/>
    </row>
    <row r="770" spans="4:9">
      <c r="D770" s="49">
        <v>44761</v>
      </c>
      <c r="E770" s="50">
        <v>297.83999999999997</v>
      </c>
      <c r="F770" s="50"/>
      <c r="G770" s="50"/>
      <c r="H770" s="50"/>
      <c r="I770" s="50"/>
    </row>
    <row r="771" spans="4:9">
      <c r="D771" s="49">
        <v>44760</v>
      </c>
      <c r="E771" s="50">
        <v>295.24</v>
      </c>
      <c r="F771" s="50"/>
      <c r="G771" s="50"/>
      <c r="H771" s="50"/>
      <c r="I771" s="50"/>
    </row>
    <row r="772" spans="4:9">
      <c r="D772" s="49">
        <v>44757</v>
      </c>
      <c r="E772" s="50">
        <v>292.5</v>
      </c>
      <c r="F772" s="50"/>
      <c r="G772" s="50"/>
      <c r="H772" s="50"/>
      <c r="I772" s="50"/>
    </row>
    <row r="773" spans="4:9">
      <c r="D773" s="49">
        <v>44756</v>
      </c>
      <c r="E773" s="50">
        <v>284.27999999999997</v>
      </c>
      <c r="F773" s="50"/>
      <c r="G773" s="50"/>
      <c r="H773" s="50"/>
      <c r="I773" s="50"/>
    </row>
    <row r="774" spans="4:9">
      <c r="D774" s="49">
        <v>44755</v>
      </c>
      <c r="E774" s="50">
        <v>280.06</v>
      </c>
      <c r="F774" s="50"/>
      <c r="G774" s="50"/>
      <c r="H774" s="50"/>
      <c r="I774" s="50"/>
    </row>
    <row r="775" spans="4:9">
      <c r="D775" s="49">
        <v>44754</v>
      </c>
      <c r="E775" s="50">
        <v>279.39999999999998</v>
      </c>
      <c r="F775" s="50"/>
      <c r="G775" s="50"/>
      <c r="H775" s="50"/>
      <c r="I775" s="50"/>
    </row>
    <row r="776" spans="4:9">
      <c r="D776" s="49">
        <v>44753</v>
      </c>
      <c r="E776" s="50">
        <v>285.69</v>
      </c>
      <c r="F776" s="50"/>
      <c r="G776" s="50"/>
      <c r="H776" s="50"/>
      <c r="I776" s="50"/>
    </row>
    <row r="777" spans="4:9">
      <c r="D777" s="49">
        <v>44750</v>
      </c>
      <c r="E777" s="50">
        <v>289.29000000000002</v>
      </c>
      <c r="F777" s="50"/>
      <c r="G777" s="50"/>
      <c r="H777" s="50"/>
      <c r="I777" s="50"/>
    </row>
    <row r="778" spans="4:9">
      <c r="D778" s="49">
        <v>44749</v>
      </c>
      <c r="E778" s="50">
        <v>284.32</v>
      </c>
      <c r="F778" s="50"/>
      <c r="G778" s="50"/>
      <c r="H778" s="50"/>
      <c r="I778" s="50"/>
    </row>
    <row r="779" spans="4:9">
      <c r="D779" s="49">
        <v>44748</v>
      </c>
      <c r="E779" s="50">
        <v>270.17</v>
      </c>
      <c r="F779" s="50"/>
      <c r="G779" s="50"/>
      <c r="H779" s="50"/>
      <c r="I779" s="50"/>
    </row>
    <row r="780" spans="4:9">
      <c r="D780" s="49">
        <v>44747</v>
      </c>
      <c r="E780" s="50">
        <v>265.27999999999997</v>
      </c>
      <c r="F780" s="50"/>
      <c r="G780" s="50"/>
      <c r="H780" s="50"/>
      <c r="I780" s="50"/>
    </row>
    <row r="781" spans="4:9">
      <c r="D781" s="49">
        <v>44746</v>
      </c>
      <c r="E781" s="50">
        <v>272.39</v>
      </c>
      <c r="F781" s="50"/>
      <c r="G781" s="50"/>
      <c r="H781" s="50"/>
      <c r="I781" s="50"/>
    </row>
    <row r="782" spans="4:9">
      <c r="D782" s="49">
        <v>44743</v>
      </c>
      <c r="E782" s="50">
        <v>247.9</v>
      </c>
      <c r="F782" s="50"/>
      <c r="G782" s="50"/>
      <c r="H782" s="50"/>
      <c r="I782" s="50"/>
    </row>
    <row r="783" spans="4:9">
      <c r="D783" s="49">
        <v>44742</v>
      </c>
      <c r="E783" s="50">
        <v>249.59</v>
      </c>
      <c r="F783" s="50"/>
      <c r="G783" s="50"/>
      <c r="H783" s="50"/>
      <c r="I783" s="50"/>
    </row>
    <row r="784" spans="4:9">
      <c r="D784" s="49">
        <v>44741</v>
      </c>
      <c r="E784" s="50">
        <v>245.67</v>
      </c>
      <c r="F784" s="50"/>
      <c r="G784" s="50"/>
      <c r="H784" s="50"/>
      <c r="I784" s="50"/>
    </row>
    <row r="785" spans="4:9">
      <c r="D785" s="49">
        <v>44740</v>
      </c>
      <c r="E785" s="50">
        <v>243.07</v>
      </c>
      <c r="F785" s="50"/>
      <c r="G785" s="50"/>
      <c r="H785" s="50"/>
      <c r="I785" s="50"/>
    </row>
    <row r="786" spans="4:9">
      <c r="D786" s="49">
        <v>44739</v>
      </c>
      <c r="E786" s="50">
        <v>240.09</v>
      </c>
      <c r="F786" s="50"/>
      <c r="G786" s="50"/>
      <c r="H786" s="50"/>
      <c r="I786" s="50"/>
    </row>
    <row r="787" spans="4:9">
      <c r="D787" s="49">
        <v>44736</v>
      </c>
      <c r="E787" s="50">
        <v>232.72</v>
      </c>
      <c r="F787" s="50"/>
      <c r="G787" s="50"/>
      <c r="H787" s="50"/>
      <c r="I787" s="50"/>
    </row>
    <row r="788" spans="4:9">
      <c r="D788" s="49">
        <v>44735</v>
      </c>
      <c r="E788" s="50">
        <v>232.23</v>
      </c>
      <c r="F788" s="50"/>
      <c r="G788" s="50"/>
      <c r="H788" s="50"/>
      <c r="I788" s="50"/>
    </row>
    <row r="789" spans="4:9">
      <c r="D789" s="49">
        <v>44734</v>
      </c>
      <c r="E789" s="50">
        <v>227.94</v>
      </c>
      <c r="F789" s="50"/>
      <c r="G789" s="50"/>
      <c r="H789" s="50"/>
      <c r="I789" s="50"/>
    </row>
    <row r="790" spans="4:9">
      <c r="D790" s="49">
        <v>44733</v>
      </c>
      <c r="E790" s="50">
        <v>233.27</v>
      </c>
      <c r="F790" s="50"/>
      <c r="G790" s="50"/>
      <c r="H790" s="50"/>
      <c r="I790" s="50"/>
    </row>
    <row r="791" spans="4:9">
      <c r="D791" s="49">
        <v>44732</v>
      </c>
      <c r="E791" s="50">
        <v>235.09</v>
      </c>
      <c r="F791" s="50"/>
      <c r="G791" s="50"/>
      <c r="H791" s="50"/>
      <c r="I791" s="50"/>
    </row>
    <row r="792" spans="4:9">
      <c r="D792" s="49">
        <v>44729</v>
      </c>
      <c r="E792" s="50">
        <v>235.09</v>
      </c>
      <c r="F792" s="50"/>
      <c r="G792" s="50"/>
      <c r="H792" s="50"/>
      <c r="I792" s="50"/>
    </row>
    <row r="793" spans="4:9">
      <c r="D793" s="49">
        <v>44728</v>
      </c>
      <c r="E793" s="50">
        <v>235.09</v>
      </c>
      <c r="F793" s="50"/>
      <c r="G793" s="50"/>
      <c r="H793" s="50"/>
      <c r="I793" s="50"/>
    </row>
    <row r="794" spans="4:9">
      <c r="D794" s="49">
        <v>44727</v>
      </c>
      <c r="E794" s="50">
        <v>229.83</v>
      </c>
      <c r="F794" s="50"/>
      <c r="G794" s="50"/>
      <c r="H794" s="50"/>
      <c r="I794" s="50"/>
    </row>
    <row r="795" spans="4:9">
      <c r="D795" s="49">
        <v>44726</v>
      </c>
      <c r="E795" s="50">
        <v>231.96</v>
      </c>
      <c r="F795" s="50"/>
      <c r="G795" s="50"/>
      <c r="H795" s="50"/>
      <c r="I795" s="50"/>
    </row>
    <row r="796" spans="4:9">
      <c r="D796" s="49">
        <v>44725</v>
      </c>
      <c r="E796" s="50">
        <v>227.37</v>
      </c>
      <c r="F796" s="50"/>
      <c r="G796" s="50"/>
      <c r="H796" s="50"/>
      <c r="I796" s="50"/>
    </row>
    <row r="797" spans="4:9">
      <c r="D797" s="49">
        <v>44722</v>
      </c>
      <c r="E797" s="50">
        <v>223.2</v>
      </c>
      <c r="F797" s="50"/>
      <c r="G797" s="50"/>
      <c r="H797" s="50"/>
      <c r="I797" s="50"/>
    </row>
    <row r="798" spans="4:9">
      <c r="D798" s="49">
        <v>44721</v>
      </c>
      <c r="E798" s="50">
        <v>217.5</v>
      </c>
      <c r="F798" s="50"/>
      <c r="G798" s="50"/>
      <c r="H798" s="50"/>
      <c r="I798" s="50"/>
    </row>
    <row r="799" spans="4:9">
      <c r="D799" s="49">
        <v>44720</v>
      </c>
      <c r="E799" s="50">
        <v>209.15</v>
      </c>
      <c r="F799" s="50"/>
      <c r="G799" s="50"/>
      <c r="H799" s="50"/>
      <c r="I799" s="50"/>
    </row>
    <row r="800" spans="4:9">
      <c r="D800" s="49">
        <v>44719</v>
      </c>
      <c r="E800" s="50">
        <v>208.68</v>
      </c>
      <c r="F800" s="50"/>
      <c r="G800" s="50"/>
      <c r="H800" s="50"/>
      <c r="I800" s="50"/>
    </row>
    <row r="801" spans="4:9">
      <c r="D801" s="49">
        <v>44718</v>
      </c>
      <c r="E801" s="50">
        <v>208.84</v>
      </c>
      <c r="F801" s="50"/>
      <c r="G801" s="50"/>
      <c r="H801" s="50"/>
      <c r="I801" s="50"/>
    </row>
    <row r="802" spans="4:9">
      <c r="D802" s="49">
        <v>44715</v>
      </c>
      <c r="E802" s="50">
        <v>207.75</v>
      </c>
      <c r="F802" s="50"/>
      <c r="G802" s="50"/>
      <c r="H802" s="50"/>
      <c r="I802" s="50"/>
    </row>
    <row r="803" spans="4:9">
      <c r="D803" s="49">
        <v>44714</v>
      </c>
      <c r="E803" s="50">
        <v>207.04</v>
      </c>
      <c r="F803" s="50"/>
      <c r="G803" s="50"/>
      <c r="H803" s="50"/>
      <c r="I803" s="50"/>
    </row>
    <row r="804" spans="4:9">
      <c r="D804" s="49">
        <v>44713</v>
      </c>
      <c r="E804" s="50">
        <v>208.62</v>
      </c>
      <c r="F804" s="50"/>
      <c r="G804" s="50"/>
      <c r="H804" s="50"/>
      <c r="I804" s="50"/>
    </row>
    <row r="805" spans="4:9">
      <c r="D805" s="49">
        <v>44712</v>
      </c>
      <c r="E805" s="50">
        <v>207.35</v>
      </c>
      <c r="F805" s="50"/>
      <c r="G805" s="50"/>
      <c r="H805" s="50"/>
      <c r="I805" s="50"/>
    </row>
    <row r="806" spans="4:9">
      <c r="D806" s="49">
        <v>44711</v>
      </c>
      <c r="E806" s="50">
        <v>209.15</v>
      </c>
      <c r="F806" s="50"/>
      <c r="G806" s="50"/>
      <c r="H806" s="50"/>
      <c r="I806" s="50"/>
    </row>
    <row r="807" spans="4:9">
      <c r="D807" s="49">
        <v>44708</v>
      </c>
      <c r="E807" s="50">
        <v>210.35</v>
      </c>
      <c r="F807" s="50"/>
      <c r="G807" s="50"/>
      <c r="H807" s="50"/>
      <c r="I807" s="50"/>
    </row>
    <row r="808" spans="4:9">
      <c r="D808" s="49">
        <v>44707</v>
      </c>
      <c r="E808" s="50">
        <v>211.41</v>
      </c>
      <c r="F808" s="50"/>
      <c r="G808" s="50"/>
      <c r="H808" s="50"/>
      <c r="I808" s="50"/>
    </row>
    <row r="809" spans="4:9">
      <c r="D809" s="49">
        <v>44706</v>
      </c>
      <c r="E809" s="50">
        <v>211.33</v>
      </c>
      <c r="F809" s="50"/>
      <c r="G809" s="50"/>
      <c r="H809" s="50"/>
      <c r="I809" s="50"/>
    </row>
    <row r="810" spans="4:9">
      <c r="D810" s="49">
        <v>44705</v>
      </c>
      <c r="E810" s="50">
        <v>211.33</v>
      </c>
      <c r="F810" s="50"/>
      <c r="G810" s="50"/>
      <c r="H810" s="50"/>
      <c r="I810" s="50"/>
    </row>
    <row r="811" spans="4:9">
      <c r="D811" s="49">
        <v>44704</v>
      </c>
      <c r="E811" s="50">
        <v>210.61</v>
      </c>
      <c r="F811" s="50"/>
      <c r="G811" s="50"/>
      <c r="H811" s="50"/>
      <c r="I811" s="50"/>
    </row>
    <row r="812" spans="4:9">
      <c r="D812" s="49">
        <v>44701</v>
      </c>
      <c r="E812" s="50">
        <v>209.56</v>
      </c>
      <c r="F812" s="50"/>
      <c r="G812" s="50"/>
      <c r="H812" s="50"/>
      <c r="I812" s="50"/>
    </row>
    <row r="813" spans="4:9">
      <c r="D813" s="49">
        <v>44700</v>
      </c>
      <c r="E813" s="50">
        <v>207.88</v>
      </c>
      <c r="F813" s="50"/>
      <c r="G813" s="50"/>
      <c r="H813" s="50"/>
      <c r="I813" s="50"/>
    </row>
    <row r="814" spans="4:9">
      <c r="D814" s="49">
        <v>44699</v>
      </c>
      <c r="E814" s="50">
        <v>209.31</v>
      </c>
      <c r="F814" s="50"/>
      <c r="G814" s="50"/>
      <c r="H814" s="50"/>
      <c r="I814" s="50"/>
    </row>
    <row r="815" spans="4:9">
      <c r="D815" s="49">
        <v>44698</v>
      </c>
      <c r="E815" s="50">
        <v>209.31</v>
      </c>
      <c r="F815" s="50"/>
      <c r="G815" s="50"/>
      <c r="H815" s="50"/>
      <c r="I815" s="50"/>
    </row>
    <row r="816" spans="4:9">
      <c r="D816" s="49">
        <v>44697</v>
      </c>
      <c r="E816" s="50">
        <v>210.79</v>
      </c>
      <c r="F816" s="50"/>
      <c r="G816" s="50"/>
      <c r="H816" s="50"/>
      <c r="I816" s="50"/>
    </row>
    <row r="817" spans="4:9">
      <c r="D817" s="49">
        <v>44694</v>
      </c>
      <c r="E817" s="50">
        <v>210.85</v>
      </c>
      <c r="F817" s="50"/>
      <c r="G817" s="50"/>
      <c r="H817" s="50"/>
      <c r="I817" s="50"/>
    </row>
    <row r="818" spans="4:9">
      <c r="D818" s="49">
        <v>44693</v>
      </c>
      <c r="E818" s="50">
        <v>206.38</v>
      </c>
      <c r="F818" s="50"/>
      <c r="G818" s="50"/>
      <c r="H818" s="50"/>
      <c r="I818" s="50"/>
    </row>
    <row r="819" spans="4:9">
      <c r="D819" s="49">
        <v>44692</v>
      </c>
      <c r="E819" s="50">
        <v>207.08</v>
      </c>
      <c r="F819" s="50"/>
      <c r="G819" s="50"/>
      <c r="H819" s="50"/>
      <c r="I819" s="50"/>
    </row>
    <row r="820" spans="4:9">
      <c r="D820" s="49">
        <v>44691</v>
      </c>
      <c r="E820" s="50">
        <v>207.79</v>
      </c>
      <c r="F820" s="50"/>
      <c r="G820" s="50"/>
      <c r="H820" s="50"/>
      <c r="I820" s="50"/>
    </row>
    <row r="821" spans="4:9">
      <c r="D821" s="49">
        <v>44690</v>
      </c>
      <c r="E821" s="50">
        <v>206.52</v>
      </c>
      <c r="F821" s="50"/>
      <c r="G821" s="50"/>
      <c r="H821" s="50"/>
      <c r="I821" s="50"/>
    </row>
    <row r="822" spans="4:9">
      <c r="D822" s="49">
        <v>44687</v>
      </c>
      <c r="E822" s="50">
        <v>208.49</v>
      </c>
      <c r="F822" s="50"/>
      <c r="G822" s="50"/>
      <c r="H822" s="50"/>
      <c r="I822" s="50"/>
    </row>
    <row r="823" spans="4:9">
      <c r="D823" s="49">
        <v>44686</v>
      </c>
      <c r="E823" s="50">
        <v>205.39</v>
      </c>
      <c r="F823" s="50"/>
      <c r="G823" s="50"/>
      <c r="H823" s="50"/>
      <c r="I823" s="50"/>
    </row>
    <row r="824" spans="4:9">
      <c r="D824" s="49">
        <v>44685</v>
      </c>
      <c r="E824" s="50">
        <v>203.57</v>
      </c>
      <c r="F824" s="50"/>
      <c r="G824" s="50"/>
      <c r="H824" s="50"/>
      <c r="I824" s="50"/>
    </row>
    <row r="825" spans="4:9">
      <c r="D825" s="49">
        <v>44684</v>
      </c>
      <c r="E825" s="50">
        <v>207.49</v>
      </c>
      <c r="F825" s="50"/>
      <c r="G825" s="50"/>
      <c r="H825" s="50"/>
      <c r="I825" s="50"/>
    </row>
    <row r="826" spans="4:9">
      <c r="D826" s="49">
        <v>44683</v>
      </c>
      <c r="E826" s="50">
        <v>209.38</v>
      </c>
      <c r="F826" s="50"/>
      <c r="G826" s="50"/>
      <c r="H826" s="50"/>
      <c r="I826" s="50"/>
    </row>
    <row r="827" spans="4:9">
      <c r="D827" s="49">
        <v>44680</v>
      </c>
      <c r="E827" s="50">
        <v>205.99</v>
      </c>
      <c r="F827" s="50"/>
      <c r="G827" s="50"/>
      <c r="H827" s="50"/>
      <c r="I827" s="50"/>
    </row>
    <row r="828" spans="4:9">
      <c r="D828" s="49">
        <v>44679</v>
      </c>
      <c r="E828" s="50">
        <v>203.99</v>
      </c>
      <c r="F828" s="50"/>
      <c r="G828" s="50"/>
      <c r="H828" s="50"/>
      <c r="I828" s="50"/>
    </row>
    <row r="829" spans="4:9">
      <c r="D829" s="49">
        <v>44678</v>
      </c>
      <c r="E829" s="50">
        <v>208.33</v>
      </c>
      <c r="F829" s="50"/>
      <c r="G829" s="50"/>
      <c r="H829" s="50"/>
      <c r="I829" s="50"/>
    </row>
    <row r="830" spans="4:9">
      <c r="D830" s="49">
        <v>44677</v>
      </c>
      <c r="E830" s="50">
        <v>212.07</v>
      </c>
      <c r="F830" s="50"/>
      <c r="G830" s="50"/>
      <c r="H830" s="50"/>
      <c r="I830" s="50"/>
    </row>
    <row r="831" spans="4:9">
      <c r="D831" s="49">
        <v>44676</v>
      </c>
      <c r="E831" s="50">
        <v>207.96</v>
      </c>
      <c r="F831" s="50"/>
      <c r="G831" s="50"/>
      <c r="H831" s="50"/>
      <c r="I831" s="50"/>
    </row>
    <row r="832" spans="4:9">
      <c r="D832" s="49">
        <v>44673</v>
      </c>
      <c r="E832" s="50">
        <v>208.27</v>
      </c>
      <c r="F832" s="50"/>
      <c r="G832" s="50"/>
      <c r="H832" s="50"/>
      <c r="I832" s="50"/>
    </row>
    <row r="833" spans="4:9">
      <c r="D833" s="49">
        <v>44672</v>
      </c>
      <c r="E833" s="50">
        <v>203.97</v>
      </c>
      <c r="F833" s="50"/>
      <c r="G833" s="50"/>
      <c r="H833" s="50"/>
      <c r="I833" s="50"/>
    </row>
    <row r="834" spans="4:9">
      <c r="D834" s="49">
        <v>44671</v>
      </c>
      <c r="E834" s="50">
        <v>195.24</v>
      </c>
      <c r="F834" s="50"/>
      <c r="G834" s="50"/>
      <c r="H834" s="50"/>
      <c r="I834" s="50"/>
    </row>
    <row r="835" spans="4:9">
      <c r="D835" s="49">
        <v>44670</v>
      </c>
      <c r="E835" s="50">
        <v>191.69</v>
      </c>
      <c r="F835" s="50"/>
      <c r="G835" s="50"/>
      <c r="H835" s="50"/>
      <c r="I835" s="50"/>
    </row>
    <row r="836" spans="4:9">
      <c r="D836" s="49">
        <v>44669</v>
      </c>
      <c r="E836" s="50">
        <v>189.3</v>
      </c>
      <c r="F836" s="50"/>
      <c r="G836" s="50"/>
      <c r="H836" s="50"/>
      <c r="I836" s="50"/>
    </row>
    <row r="837" spans="4:9">
      <c r="D837" s="49">
        <v>44666</v>
      </c>
      <c r="E837" s="50">
        <v>191.33</v>
      </c>
      <c r="F837" s="50"/>
      <c r="G837" s="50"/>
      <c r="H837" s="50"/>
      <c r="I837" s="50"/>
    </row>
    <row r="838" spans="4:9">
      <c r="D838" s="49">
        <v>44665</v>
      </c>
      <c r="E838" s="50">
        <v>191.33</v>
      </c>
      <c r="F838" s="50"/>
      <c r="G838" s="50"/>
      <c r="H838" s="50"/>
      <c r="I838" s="50"/>
    </row>
    <row r="839" spans="4:9">
      <c r="D839" s="49">
        <v>44664</v>
      </c>
      <c r="E839" s="50">
        <v>191.33</v>
      </c>
      <c r="F839" s="50"/>
      <c r="G839" s="50"/>
      <c r="H839" s="50"/>
      <c r="I839" s="50"/>
    </row>
    <row r="840" spans="4:9">
      <c r="D840" s="49">
        <v>44663</v>
      </c>
      <c r="E840" s="50">
        <v>191.67</v>
      </c>
      <c r="F840" s="50"/>
      <c r="G840" s="50"/>
      <c r="H840" s="50"/>
      <c r="I840" s="50"/>
    </row>
    <row r="841" spans="4:9">
      <c r="D841" s="49">
        <v>44662</v>
      </c>
      <c r="E841" s="50">
        <v>191.31</v>
      </c>
      <c r="F841" s="50"/>
      <c r="G841" s="50"/>
      <c r="H841" s="50"/>
      <c r="I841" s="50"/>
    </row>
    <row r="842" spans="4:9">
      <c r="D842" s="49">
        <v>44659</v>
      </c>
      <c r="E842" s="50">
        <v>191.15</v>
      </c>
      <c r="F842" s="50"/>
      <c r="G842" s="50"/>
      <c r="H842" s="50"/>
      <c r="I842" s="50"/>
    </row>
    <row r="843" spans="4:9">
      <c r="D843" s="49">
        <v>44658</v>
      </c>
      <c r="E843" s="50">
        <v>192.32</v>
      </c>
      <c r="F843" s="50"/>
      <c r="G843" s="50"/>
      <c r="H843" s="50"/>
      <c r="I843" s="50"/>
    </row>
    <row r="844" spans="4:9">
      <c r="D844" s="49">
        <v>44657</v>
      </c>
      <c r="E844" s="50">
        <v>190.21</v>
      </c>
      <c r="F844" s="50"/>
      <c r="G844" s="50"/>
      <c r="H844" s="50"/>
      <c r="I844" s="50"/>
    </row>
    <row r="845" spans="4:9">
      <c r="D845" s="49">
        <v>44656</v>
      </c>
      <c r="E845" s="50">
        <v>190.17</v>
      </c>
      <c r="F845" s="50"/>
      <c r="G845" s="50"/>
      <c r="H845" s="50"/>
      <c r="I845" s="50"/>
    </row>
    <row r="846" spans="4:9">
      <c r="D846" s="49">
        <v>44655</v>
      </c>
      <c r="E846" s="50">
        <v>190.88</v>
      </c>
      <c r="F846" s="50"/>
      <c r="G846" s="50"/>
      <c r="H846" s="50"/>
      <c r="I846" s="50"/>
    </row>
    <row r="847" spans="4:9">
      <c r="D847" s="49">
        <v>44652</v>
      </c>
      <c r="E847" s="50">
        <v>189.75</v>
      </c>
      <c r="F847" s="50"/>
      <c r="G847" s="50"/>
      <c r="H847" s="50"/>
      <c r="I847" s="50"/>
    </row>
    <row r="848" spans="4:9">
      <c r="D848" s="49">
        <v>44651</v>
      </c>
      <c r="E848" s="50">
        <v>190.56</v>
      </c>
      <c r="F848" s="50"/>
      <c r="G848" s="50"/>
      <c r="H848" s="50"/>
      <c r="I848" s="50"/>
    </row>
    <row r="849" spans="4:9">
      <c r="D849" s="49">
        <v>44650</v>
      </c>
      <c r="E849" s="50">
        <v>192.52</v>
      </c>
      <c r="F849" s="50"/>
      <c r="G849" s="50"/>
      <c r="H849" s="50"/>
      <c r="I849" s="50"/>
    </row>
    <row r="850" spans="4:9">
      <c r="D850" s="49">
        <v>44649</v>
      </c>
      <c r="E850" s="50">
        <v>191.99</v>
      </c>
      <c r="F850" s="50"/>
      <c r="G850" s="50"/>
      <c r="H850" s="50"/>
      <c r="I850" s="50"/>
    </row>
    <row r="851" spans="4:9">
      <c r="D851" s="49">
        <v>44648</v>
      </c>
      <c r="E851" s="50">
        <v>196.27</v>
      </c>
      <c r="F851" s="50"/>
      <c r="G851" s="50"/>
      <c r="H851" s="50"/>
      <c r="I851" s="50"/>
    </row>
    <row r="852" spans="4:9">
      <c r="D852" s="49">
        <v>44645</v>
      </c>
      <c r="E852" s="50">
        <v>200.31</v>
      </c>
      <c r="F852" s="50"/>
      <c r="G852" s="50"/>
      <c r="H852" s="50"/>
      <c r="I852" s="50"/>
    </row>
    <row r="853" spans="4:9">
      <c r="D853" s="49">
        <v>44643</v>
      </c>
      <c r="E853" s="50">
        <v>200.72</v>
      </c>
      <c r="F853" s="50"/>
      <c r="G853" s="50"/>
      <c r="H853" s="50"/>
      <c r="I853" s="50"/>
    </row>
    <row r="854" spans="4:9">
      <c r="D854" s="49">
        <v>44642</v>
      </c>
      <c r="E854" s="50">
        <v>199.82</v>
      </c>
      <c r="F854" s="50"/>
      <c r="G854" s="50"/>
      <c r="H854" s="50"/>
      <c r="I854" s="50"/>
    </row>
    <row r="855" spans="4:9">
      <c r="D855" s="49">
        <v>44641</v>
      </c>
      <c r="E855" s="50">
        <v>197.9</v>
      </c>
      <c r="F855" s="50"/>
      <c r="G855" s="50"/>
      <c r="H855" s="50"/>
      <c r="I855" s="50"/>
    </row>
    <row r="856" spans="4:9">
      <c r="D856" s="49">
        <v>44638</v>
      </c>
      <c r="E856" s="50">
        <v>195.17</v>
      </c>
      <c r="F856" s="50"/>
      <c r="G856" s="50"/>
      <c r="H856" s="50"/>
      <c r="I856" s="50"/>
    </row>
    <row r="857" spans="4:9">
      <c r="D857" s="49">
        <v>44637</v>
      </c>
      <c r="E857" s="50">
        <v>195.27</v>
      </c>
      <c r="F857" s="50"/>
      <c r="G857" s="50"/>
      <c r="H857" s="50"/>
      <c r="I857" s="50"/>
    </row>
    <row r="858" spans="4:9">
      <c r="D858" s="49">
        <v>44636</v>
      </c>
      <c r="E858" s="50">
        <v>193.3</v>
      </c>
      <c r="F858" s="50"/>
      <c r="G858" s="50"/>
      <c r="H858" s="50"/>
      <c r="I858" s="50"/>
    </row>
    <row r="859" spans="4:9">
      <c r="D859" s="49">
        <v>44635</v>
      </c>
      <c r="E859" s="50">
        <v>187.94</v>
      </c>
      <c r="F859" s="50"/>
      <c r="G859" s="50"/>
      <c r="H859" s="50"/>
      <c r="I859" s="50"/>
    </row>
    <row r="860" spans="4:9">
      <c r="D860" s="49">
        <v>44634</v>
      </c>
      <c r="E860" s="50">
        <v>185.6</v>
      </c>
      <c r="F860" s="50"/>
      <c r="G860" s="50"/>
      <c r="H860" s="50"/>
      <c r="I860" s="50"/>
    </row>
    <row r="861" spans="4:9">
      <c r="D861" s="49">
        <v>44631</v>
      </c>
      <c r="E861" s="50">
        <v>187.41</v>
      </c>
      <c r="F861" s="50"/>
      <c r="G861" s="50"/>
      <c r="H861" s="50"/>
      <c r="I861" s="50"/>
    </row>
    <row r="862" spans="4:9">
      <c r="D862" s="49">
        <v>44630</v>
      </c>
      <c r="E862" s="50">
        <v>189.62</v>
      </c>
      <c r="F862" s="50"/>
      <c r="G862" s="50"/>
      <c r="H862" s="50"/>
      <c r="I862" s="50"/>
    </row>
    <row r="863" spans="4:9">
      <c r="D863" s="49">
        <v>44629</v>
      </c>
      <c r="E863" s="50">
        <v>190.85</v>
      </c>
      <c r="F863" s="50"/>
      <c r="G863" s="50"/>
      <c r="H863" s="50"/>
      <c r="I863" s="50"/>
    </row>
    <row r="864" spans="4:9">
      <c r="D864" s="49">
        <v>44628</v>
      </c>
      <c r="E864" s="50">
        <v>194.54</v>
      </c>
      <c r="F864" s="50"/>
      <c r="G864" s="50"/>
      <c r="H864" s="50"/>
      <c r="I864" s="50"/>
    </row>
    <row r="865" spans="4:9">
      <c r="D865" s="49">
        <v>44627</v>
      </c>
      <c r="E865" s="50">
        <v>197.28</v>
      </c>
      <c r="F865" s="50"/>
      <c r="G865" s="50"/>
      <c r="H865" s="50"/>
      <c r="I865" s="50"/>
    </row>
    <row r="866" spans="4:9">
      <c r="D866" s="49">
        <v>44626</v>
      </c>
      <c r="E866" s="50">
        <v>197.6</v>
      </c>
      <c r="F866" s="50"/>
      <c r="G866" s="50"/>
      <c r="H866" s="50"/>
      <c r="I866" s="50"/>
    </row>
    <row r="867" spans="4:9">
      <c r="D867" s="49">
        <v>44625</v>
      </c>
      <c r="E867" s="50">
        <v>197.6</v>
      </c>
      <c r="F867" s="50"/>
      <c r="G867" s="50"/>
      <c r="H867" s="50"/>
      <c r="I867" s="50"/>
    </row>
    <row r="868" spans="4:9">
      <c r="D868" s="49">
        <v>44624</v>
      </c>
      <c r="E868" s="50">
        <v>197.6</v>
      </c>
      <c r="F868" s="50"/>
      <c r="G868" s="50"/>
      <c r="H868" s="50"/>
      <c r="I868" s="50"/>
    </row>
    <row r="869" spans="4:9">
      <c r="D869" s="49">
        <v>44623</v>
      </c>
      <c r="E869" s="50">
        <v>196.82</v>
      </c>
      <c r="F869" s="50"/>
      <c r="G869" s="50"/>
      <c r="H869" s="50"/>
      <c r="I869" s="50"/>
    </row>
    <row r="870" spans="4:9">
      <c r="D870" s="49">
        <v>44622</v>
      </c>
      <c r="E870" s="50">
        <v>196.84</v>
      </c>
      <c r="F870" s="50"/>
      <c r="G870" s="50"/>
      <c r="H870" s="50"/>
      <c r="I870" s="50"/>
    </row>
    <row r="871" spans="4:9">
      <c r="D871" s="49">
        <v>44621</v>
      </c>
      <c r="E871" s="50">
        <v>195.31</v>
      </c>
      <c r="F871" s="50"/>
      <c r="G871" s="50"/>
      <c r="H871" s="50"/>
      <c r="I871" s="50"/>
    </row>
    <row r="872" spans="4:9">
      <c r="D872" s="49">
        <v>44620</v>
      </c>
      <c r="E872" s="50">
        <v>195.31</v>
      </c>
      <c r="F872" s="50"/>
      <c r="G872" s="50"/>
      <c r="H872" s="50"/>
      <c r="I872" s="50"/>
    </row>
    <row r="873" spans="4:9">
      <c r="D873" s="49">
        <v>44619</v>
      </c>
      <c r="E873" s="50">
        <v>195.31</v>
      </c>
      <c r="F873" s="50"/>
      <c r="G873" s="50"/>
      <c r="H873" s="50"/>
      <c r="I873" s="50"/>
    </row>
    <row r="874" spans="4:9">
      <c r="D874" s="49">
        <v>44618</v>
      </c>
      <c r="E874" s="50">
        <v>195.31</v>
      </c>
      <c r="F874" s="50"/>
      <c r="G874" s="50"/>
      <c r="H874" s="50"/>
      <c r="I874" s="50"/>
    </row>
    <row r="875" spans="4:9">
      <c r="D875" s="49">
        <v>44617</v>
      </c>
      <c r="E875" s="50">
        <v>195.31</v>
      </c>
      <c r="F875" s="50"/>
      <c r="G875" s="50"/>
      <c r="H875" s="50"/>
      <c r="I875" s="50"/>
    </row>
    <row r="876" spans="4:9">
      <c r="D876" s="49">
        <v>44616</v>
      </c>
      <c r="E876" s="50">
        <v>197.19</v>
      </c>
      <c r="F876" s="50"/>
      <c r="G876" s="50"/>
      <c r="H876" s="50"/>
      <c r="I876" s="50"/>
    </row>
    <row r="877" spans="4:9">
      <c r="D877" s="49">
        <v>44615</v>
      </c>
      <c r="E877" s="50">
        <v>196.81</v>
      </c>
      <c r="F877" s="50"/>
      <c r="G877" s="50"/>
      <c r="H877" s="50"/>
      <c r="I877" s="50"/>
    </row>
    <row r="878" spans="4:9">
      <c r="D878" s="49">
        <v>44614</v>
      </c>
      <c r="E878" s="50">
        <v>196.05</v>
      </c>
      <c r="F878" s="50"/>
      <c r="G878" s="50"/>
      <c r="H878" s="50"/>
      <c r="I878" s="50"/>
    </row>
    <row r="879" spans="4:9">
      <c r="D879" s="49">
        <v>44613</v>
      </c>
      <c r="E879" s="50">
        <v>201.12</v>
      </c>
      <c r="F879" s="50"/>
      <c r="G879" s="50"/>
      <c r="H879" s="50"/>
      <c r="I879" s="50"/>
    </row>
    <row r="880" spans="4:9">
      <c r="D880" s="49">
        <v>44612</v>
      </c>
      <c r="E880" s="50">
        <v>199.72</v>
      </c>
      <c r="F880" s="50"/>
      <c r="G880" s="50"/>
      <c r="H880" s="50"/>
      <c r="I880" s="50"/>
    </row>
    <row r="881" spans="4:9">
      <c r="D881" s="49">
        <v>44611</v>
      </c>
      <c r="E881" s="50">
        <v>199.72</v>
      </c>
      <c r="F881" s="50"/>
      <c r="G881" s="50"/>
      <c r="H881" s="50"/>
      <c r="I881" s="50"/>
    </row>
    <row r="882" spans="4:9">
      <c r="D882" s="49">
        <v>44610</v>
      </c>
      <c r="E882" s="50">
        <v>199.72</v>
      </c>
      <c r="F882" s="50"/>
      <c r="G882" s="50"/>
      <c r="H882" s="50"/>
      <c r="I882" s="50"/>
    </row>
    <row r="883" spans="4:9">
      <c r="D883" s="49">
        <v>44609</v>
      </c>
      <c r="E883" s="50">
        <v>203.03</v>
      </c>
      <c r="F883" s="50"/>
      <c r="G883" s="50"/>
      <c r="H883" s="50"/>
      <c r="I883" s="50"/>
    </row>
    <row r="884" spans="4:9">
      <c r="D884" s="49">
        <v>44608</v>
      </c>
      <c r="E884" s="50">
        <v>203.93</v>
      </c>
      <c r="F884" s="50"/>
      <c r="G884" s="50"/>
      <c r="H884" s="50"/>
      <c r="I884" s="50"/>
    </row>
    <row r="885" spans="4:9">
      <c r="D885" s="49">
        <v>44607</v>
      </c>
      <c r="E885" s="50">
        <v>205.49</v>
      </c>
      <c r="F885" s="50"/>
      <c r="G885" s="50"/>
      <c r="H885" s="50"/>
      <c r="I885" s="50"/>
    </row>
    <row r="886" spans="4:9">
      <c r="D886" s="49">
        <v>44606</v>
      </c>
      <c r="E886" s="50">
        <v>207.41</v>
      </c>
      <c r="F886" s="50"/>
      <c r="G886" s="50"/>
      <c r="H886" s="50"/>
      <c r="I886" s="50"/>
    </row>
    <row r="887" spans="4:9">
      <c r="D887" s="49">
        <v>44605</v>
      </c>
      <c r="E887" s="50">
        <v>207.59</v>
      </c>
      <c r="F887" s="50"/>
      <c r="G887" s="50"/>
      <c r="H887" s="50"/>
      <c r="I887" s="50"/>
    </row>
    <row r="888" spans="4:9">
      <c r="D888" s="49">
        <v>44604</v>
      </c>
      <c r="E888" s="50">
        <v>207.59</v>
      </c>
      <c r="F888" s="50"/>
      <c r="G888" s="50"/>
      <c r="H888" s="50"/>
      <c r="I888" s="50"/>
    </row>
    <row r="889" spans="4:9">
      <c r="D889" s="49">
        <v>44603</v>
      </c>
      <c r="E889" s="50">
        <v>207.59</v>
      </c>
      <c r="F889" s="50"/>
      <c r="G889" s="50"/>
      <c r="H889" s="50"/>
      <c r="I889" s="50"/>
    </row>
    <row r="890" spans="4:9">
      <c r="D890" s="49">
        <v>44602</v>
      </c>
      <c r="E890" s="50">
        <v>207.15</v>
      </c>
      <c r="F890" s="50"/>
      <c r="G890" s="50"/>
      <c r="H890" s="50"/>
      <c r="I890" s="50"/>
    </row>
    <row r="891" spans="4:9">
      <c r="D891" s="49">
        <v>44601</v>
      </c>
      <c r="E891" s="50">
        <v>204.97</v>
      </c>
      <c r="F891" s="50"/>
      <c r="G891" s="50"/>
      <c r="H891" s="50"/>
      <c r="I891" s="50"/>
    </row>
    <row r="892" spans="4:9">
      <c r="D892" s="49">
        <v>44600</v>
      </c>
      <c r="E892" s="50">
        <v>207.9</v>
      </c>
      <c r="F892" s="50"/>
      <c r="G892" s="50"/>
      <c r="H892" s="50"/>
      <c r="I892" s="50"/>
    </row>
    <row r="893" spans="4:9">
      <c r="D893" s="49">
        <v>44599</v>
      </c>
      <c r="E893" s="50">
        <v>210.22</v>
      </c>
      <c r="F893" s="50"/>
      <c r="G893" s="50"/>
      <c r="H893" s="50"/>
      <c r="I893" s="50"/>
    </row>
    <row r="894" spans="4:9">
      <c r="D894" s="49">
        <v>44598</v>
      </c>
      <c r="E894" s="50">
        <v>212.23</v>
      </c>
      <c r="F894" s="50"/>
      <c r="G894" s="50"/>
      <c r="H894" s="50"/>
      <c r="I894" s="50"/>
    </row>
    <row r="895" spans="4:9">
      <c r="D895" s="49">
        <v>44597</v>
      </c>
      <c r="E895" s="50">
        <v>212.23</v>
      </c>
      <c r="F895" s="50"/>
      <c r="G895" s="50"/>
      <c r="H895" s="50"/>
      <c r="I895" s="50"/>
    </row>
    <row r="896" spans="4:9">
      <c r="D896" s="49">
        <v>44596</v>
      </c>
      <c r="E896" s="50">
        <v>212.23</v>
      </c>
      <c r="F896" s="50"/>
      <c r="G896" s="50"/>
      <c r="H896" s="50"/>
      <c r="I896" s="50"/>
    </row>
    <row r="897" spans="4:9">
      <c r="D897" s="49">
        <v>44595</v>
      </c>
      <c r="E897" s="50">
        <v>211.71</v>
      </c>
      <c r="F897" s="50"/>
      <c r="G897" s="50"/>
      <c r="H897" s="50"/>
      <c r="I897" s="50"/>
    </row>
    <row r="898" spans="4:9">
      <c r="D898" s="49">
        <v>44594</v>
      </c>
      <c r="E898" s="50">
        <v>210.88</v>
      </c>
      <c r="F898" s="50"/>
      <c r="G898" s="50"/>
      <c r="H898" s="50"/>
      <c r="I898" s="50"/>
    </row>
    <row r="899" spans="4:9">
      <c r="D899" s="49">
        <v>44593</v>
      </c>
      <c r="E899" s="50">
        <v>214.63</v>
      </c>
      <c r="F899" s="50"/>
      <c r="G899" s="50"/>
      <c r="H899" s="50"/>
      <c r="I899" s="50"/>
    </row>
    <row r="900" spans="4:9">
      <c r="D900" s="49">
        <v>44592</v>
      </c>
      <c r="E900" s="50">
        <v>214.67</v>
      </c>
      <c r="F900" s="50"/>
      <c r="G900" s="50"/>
      <c r="H900" s="50"/>
      <c r="I900" s="50"/>
    </row>
    <row r="901" spans="4:9">
      <c r="D901" s="49">
        <v>44591</v>
      </c>
      <c r="E901" s="50">
        <v>216.66</v>
      </c>
      <c r="F901" s="50"/>
      <c r="G901" s="50"/>
      <c r="H901" s="50"/>
      <c r="I901" s="50"/>
    </row>
    <row r="902" spans="4:9">
      <c r="D902" s="49">
        <v>44590</v>
      </c>
      <c r="E902" s="50">
        <v>216.66</v>
      </c>
      <c r="F902" s="50"/>
      <c r="G902" s="50"/>
      <c r="H902" s="50"/>
      <c r="I902" s="50"/>
    </row>
    <row r="903" spans="4:9">
      <c r="D903" s="49">
        <v>44589</v>
      </c>
      <c r="E903" s="50">
        <v>216.66</v>
      </c>
      <c r="F903" s="50"/>
      <c r="G903" s="50"/>
      <c r="H903" s="50"/>
      <c r="I903" s="50"/>
    </row>
    <row r="904" spans="4:9">
      <c r="D904" s="49">
        <v>44588</v>
      </c>
      <c r="E904" s="50">
        <v>223.75</v>
      </c>
      <c r="F904" s="50"/>
      <c r="G904" s="50"/>
      <c r="H904" s="50"/>
      <c r="I904" s="50"/>
    </row>
    <row r="905" spans="4:9">
      <c r="D905" s="49">
        <v>44587</v>
      </c>
      <c r="E905" s="50">
        <v>216.85</v>
      </c>
      <c r="F905" s="50"/>
      <c r="G905" s="50"/>
      <c r="H905" s="50"/>
      <c r="I905" s="50"/>
    </row>
    <row r="906" spans="4:9">
      <c r="D906" s="49">
        <v>44586</v>
      </c>
      <c r="E906" s="50">
        <v>218.84</v>
      </c>
      <c r="F906" s="50"/>
      <c r="G906" s="50"/>
      <c r="H906" s="50"/>
      <c r="I906" s="50"/>
    </row>
    <row r="907" spans="4:9">
      <c r="D907" s="49">
        <v>44585</v>
      </c>
      <c r="E907" s="50">
        <v>219.09</v>
      </c>
      <c r="F907" s="50"/>
      <c r="G907" s="50"/>
      <c r="H907" s="50"/>
      <c r="I907" s="50"/>
    </row>
    <row r="908" spans="4:9">
      <c r="D908" s="49">
        <v>44584</v>
      </c>
      <c r="E908" s="50">
        <v>212.74</v>
      </c>
      <c r="F908" s="50"/>
      <c r="G908" s="50"/>
      <c r="H908" s="50"/>
      <c r="I908" s="50"/>
    </row>
    <row r="909" spans="4:9">
      <c r="D909" s="49">
        <v>44583</v>
      </c>
      <c r="E909" s="50">
        <v>212.74</v>
      </c>
      <c r="F909" s="50"/>
      <c r="G909" s="50"/>
      <c r="H909" s="50"/>
      <c r="I909" s="50"/>
    </row>
    <row r="910" spans="4:9">
      <c r="D910" s="49">
        <v>44582</v>
      </c>
      <c r="E910" s="50">
        <v>212.74</v>
      </c>
      <c r="F910" s="50"/>
      <c r="G910" s="50"/>
      <c r="H910" s="50"/>
      <c r="I910" s="50"/>
    </row>
    <row r="911" spans="4:9">
      <c r="D911" s="49">
        <v>44581</v>
      </c>
      <c r="E911" s="50">
        <v>212.32</v>
      </c>
      <c r="F911" s="50"/>
      <c r="G911" s="50"/>
      <c r="H911" s="50"/>
      <c r="I911" s="50"/>
    </row>
    <row r="912" spans="4:9">
      <c r="D912" s="49">
        <v>44580</v>
      </c>
      <c r="E912" s="50">
        <v>206.58</v>
      </c>
      <c r="F912" s="50"/>
      <c r="G912" s="50"/>
      <c r="H912" s="50"/>
      <c r="I912" s="50"/>
    </row>
    <row r="913" spans="4:9">
      <c r="D913" s="49">
        <v>44579</v>
      </c>
      <c r="E913" s="50">
        <v>203.6</v>
      </c>
      <c r="F913" s="50"/>
      <c r="G913" s="50"/>
      <c r="H913" s="50"/>
      <c r="I913" s="50"/>
    </row>
    <row r="914" spans="4:9">
      <c r="D914" s="49">
        <v>44578</v>
      </c>
      <c r="E914" s="50">
        <v>204.11</v>
      </c>
      <c r="F914" s="50"/>
      <c r="G914" s="50"/>
      <c r="H914" s="50"/>
      <c r="I914" s="50"/>
    </row>
    <row r="915" spans="4:9">
      <c r="D915" s="49">
        <v>44577</v>
      </c>
      <c r="E915" s="50">
        <v>202.46</v>
      </c>
      <c r="F915" s="50"/>
      <c r="G915" s="50"/>
      <c r="H915" s="50"/>
      <c r="I915" s="50"/>
    </row>
    <row r="916" spans="4:9">
      <c r="D916" s="49">
        <v>44576</v>
      </c>
      <c r="E916" s="50">
        <v>202.46</v>
      </c>
      <c r="F916" s="50"/>
      <c r="G916" s="50"/>
      <c r="H916" s="50"/>
      <c r="I916" s="50"/>
    </row>
    <row r="917" spans="4:9">
      <c r="D917" s="49">
        <v>44575</v>
      </c>
      <c r="E917" s="50">
        <v>202.46</v>
      </c>
      <c r="F917" s="50"/>
      <c r="G917" s="50"/>
      <c r="H917" s="50"/>
      <c r="I917" s="50"/>
    </row>
    <row r="918" spans="4:9">
      <c r="D918" s="49">
        <v>44574</v>
      </c>
      <c r="E918" s="50">
        <v>200.74</v>
      </c>
      <c r="F918" s="50"/>
      <c r="G918" s="50"/>
      <c r="H918" s="50"/>
      <c r="I918" s="50"/>
    </row>
    <row r="919" spans="4:9">
      <c r="D919" s="49">
        <v>44573</v>
      </c>
      <c r="E919" s="50">
        <v>201.96</v>
      </c>
      <c r="F919" s="50"/>
      <c r="G919" s="50"/>
      <c r="H919" s="50"/>
      <c r="I919" s="50"/>
    </row>
    <row r="920" spans="4:9">
      <c r="D920" s="49">
        <v>44572</v>
      </c>
      <c r="E920" s="50">
        <v>202.46</v>
      </c>
      <c r="F920" s="50"/>
      <c r="G920" s="50"/>
      <c r="H920" s="50"/>
      <c r="I920" s="50"/>
    </row>
    <row r="921" spans="4:9">
      <c r="D921" s="49">
        <v>44571</v>
      </c>
      <c r="E921" s="50">
        <v>202.78</v>
      </c>
      <c r="F921" s="50"/>
      <c r="G921" s="50"/>
      <c r="H921" s="50"/>
      <c r="I921" s="50"/>
    </row>
    <row r="922" spans="4:9">
      <c r="D922" s="49">
        <v>44570</v>
      </c>
      <c r="E922" s="50">
        <v>203.84</v>
      </c>
      <c r="F922" s="50"/>
      <c r="G922" s="50"/>
      <c r="H922" s="50"/>
      <c r="I922" s="50"/>
    </row>
    <row r="923" spans="4:9">
      <c r="D923" s="49">
        <v>44569</v>
      </c>
      <c r="E923" s="50">
        <v>203.84</v>
      </c>
      <c r="F923" s="50"/>
      <c r="G923" s="50"/>
      <c r="H923" s="50"/>
      <c r="I923" s="50"/>
    </row>
    <row r="924" spans="4:9">
      <c r="D924" s="49">
        <v>44568</v>
      </c>
      <c r="E924" s="50">
        <v>203.84</v>
      </c>
      <c r="F924" s="50"/>
      <c r="G924" s="50"/>
      <c r="H924" s="50"/>
      <c r="I924" s="50"/>
    </row>
    <row r="925" spans="4:9">
      <c r="D925" s="49">
        <v>44567</v>
      </c>
      <c r="E925" s="50">
        <v>202.09</v>
      </c>
      <c r="F925" s="50"/>
      <c r="G925" s="50"/>
      <c r="H925" s="50"/>
      <c r="I925" s="50"/>
    </row>
    <row r="926" spans="4:9">
      <c r="D926" s="49">
        <v>44566</v>
      </c>
      <c r="E926" s="50">
        <v>199.07</v>
      </c>
      <c r="F926" s="50"/>
      <c r="G926" s="50"/>
      <c r="H926" s="50"/>
      <c r="I926" s="50"/>
    </row>
    <row r="927" spans="4:9">
      <c r="D927" s="49">
        <v>44565</v>
      </c>
      <c r="E927" s="50">
        <v>197.4</v>
      </c>
      <c r="F927" s="50"/>
      <c r="G927" s="50"/>
      <c r="H927" s="50"/>
      <c r="I927" s="50"/>
    </row>
    <row r="928" spans="4:9">
      <c r="D928" s="49">
        <v>44564</v>
      </c>
      <c r="E928" s="50">
        <v>198.26</v>
      </c>
      <c r="F928" s="50"/>
      <c r="G928" s="50"/>
      <c r="H928" s="50"/>
      <c r="I928" s="50"/>
    </row>
    <row r="929" spans="4:9">
      <c r="D929" s="49">
        <v>44563</v>
      </c>
      <c r="E929" s="50">
        <v>197.8</v>
      </c>
      <c r="F929" s="50"/>
      <c r="G929" s="50"/>
      <c r="H929" s="50"/>
      <c r="I929" s="50"/>
    </row>
    <row r="930" spans="4:9">
      <c r="D930" s="49">
        <v>44562</v>
      </c>
      <c r="E930" s="50">
        <v>197.8</v>
      </c>
      <c r="F930" s="50"/>
      <c r="G930" s="50"/>
      <c r="H930" s="50"/>
      <c r="I930" s="50"/>
    </row>
    <row r="931" spans="4:9">
      <c r="D931" s="49">
        <v>44561</v>
      </c>
      <c r="E931" s="50">
        <v>197.8</v>
      </c>
      <c r="F931" s="50"/>
      <c r="G931" s="50"/>
      <c r="H931" s="50"/>
      <c r="I931" s="50"/>
    </row>
    <row r="932" spans="4:9">
      <c r="D932" s="49">
        <v>44560</v>
      </c>
      <c r="E932" s="50">
        <v>197.8</v>
      </c>
      <c r="F932" s="50"/>
      <c r="G932" s="50"/>
      <c r="H932" s="50"/>
      <c r="I932" s="50"/>
    </row>
    <row r="933" spans="4:9">
      <c r="D933" s="49">
        <v>44559</v>
      </c>
      <c r="E933" s="50">
        <v>196.03</v>
      </c>
      <c r="F933" s="50"/>
      <c r="G933" s="50"/>
      <c r="H933" s="50"/>
      <c r="I933" s="50"/>
    </row>
    <row r="934" spans="4:9">
      <c r="D934" s="49">
        <v>44558</v>
      </c>
      <c r="E934" s="50">
        <v>193.34</v>
      </c>
      <c r="F934" s="50"/>
      <c r="G934" s="50"/>
      <c r="H934" s="50"/>
      <c r="I934" s="50"/>
    </row>
    <row r="935" spans="4:9">
      <c r="D935" s="49">
        <v>44557</v>
      </c>
      <c r="E935" s="50">
        <v>194.53</v>
      </c>
      <c r="F935" s="50"/>
      <c r="G935" s="50"/>
      <c r="H935" s="50"/>
      <c r="I935" s="50"/>
    </row>
    <row r="936" spans="4:9">
      <c r="D936" s="49">
        <v>44556</v>
      </c>
      <c r="E936" s="50">
        <v>197.97</v>
      </c>
      <c r="F936" s="50"/>
      <c r="G936" s="50"/>
      <c r="H936" s="50"/>
      <c r="I936" s="50"/>
    </row>
    <row r="937" spans="4:9">
      <c r="D937" s="49">
        <v>44555</v>
      </c>
      <c r="E937" s="50">
        <v>197.97</v>
      </c>
      <c r="F937" s="50"/>
      <c r="G937" s="50"/>
      <c r="H937" s="50"/>
      <c r="I937" s="50"/>
    </row>
    <row r="938" spans="4:9">
      <c r="D938" s="49">
        <v>44554</v>
      </c>
      <c r="E938" s="50">
        <v>197.97</v>
      </c>
      <c r="F938" s="50"/>
      <c r="G938" s="50"/>
      <c r="H938" s="50"/>
      <c r="I938" s="50"/>
    </row>
    <row r="939" spans="4:9">
      <c r="D939" s="49">
        <v>44553</v>
      </c>
      <c r="E939" s="50">
        <v>199.21</v>
      </c>
      <c r="F939" s="50"/>
      <c r="G939" s="50"/>
      <c r="H939" s="50"/>
      <c r="I939" s="50"/>
    </row>
    <row r="940" spans="4:9">
      <c r="D940" s="49">
        <v>44552</v>
      </c>
      <c r="E940" s="50">
        <v>199.84</v>
      </c>
      <c r="F940" s="50"/>
      <c r="G940" s="50"/>
      <c r="H940" s="50"/>
      <c r="I940" s="50"/>
    </row>
    <row r="941" spans="4:9">
      <c r="D941" s="49">
        <v>44551</v>
      </c>
      <c r="E941" s="50">
        <v>202.17</v>
      </c>
      <c r="F941" s="50"/>
      <c r="G941" s="50"/>
      <c r="H941" s="50"/>
      <c r="I941" s="50"/>
    </row>
    <row r="942" spans="4:9">
      <c r="D942" s="49">
        <v>44550</v>
      </c>
      <c r="E942" s="50">
        <v>200.41</v>
      </c>
      <c r="F942" s="50"/>
      <c r="G942" s="50"/>
      <c r="H942" s="50"/>
      <c r="I942" s="50"/>
    </row>
    <row r="943" spans="4:9">
      <c r="D943" s="49">
        <v>44549</v>
      </c>
      <c r="E943" s="50">
        <v>199.22</v>
      </c>
      <c r="F943" s="50"/>
      <c r="G943" s="50"/>
      <c r="H943" s="50"/>
      <c r="I943" s="50"/>
    </row>
    <row r="944" spans="4:9">
      <c r="D944" s="49">
        <v>44548</v>
      </c>
      <c r="E944" s="50">
        <v>199.22</v>
      </c>
      <c r="F944" s="50"/>
      <c r="G944" s="50"/>
      <c r="H944" s="50"/>
      <c r="I944" s="50"/>
    </row>
    <row r="945" spans="4:9">
      <c r="D945" s="49">
        <v>44547</v>
      </c>
      <c r="E945" s="50">
        <v>199.22</v>
      </c>
      <c r="F945" s="50"/>
      <c r="G945" s="50"/>
      <c r="H945" s="50"/>
      <c r="I945" s="50"/>
    </row>
    <row r="946" spans="4:9">
      <c r="D946" s="49">
        <v>44546</v>
      </c>
      <c r="E946" s="50">
        <v>191.64</v>
      </c>
      <c r="F946" s="50"/>
      <c r="G946" s="50"/>
      <c r="H946" s="50"/>
      <c r="I946" s="50"/>
    </row>
    <row r="947" spans="4:9">
      <c r="D947" s="49">
        <v>44545</v>
      </c>
      <c r="E947" s="50">
        <v>191.69</v>
      </c>
      <c r="F947" s="50"/>
      <c r="G947" s="50"/>
      <c r="H947" s="50"/>
      <c r="I947" s="50"/>
    </row>
    <row r="948" spans="4:9">
      <c r="D948" s="49">
        <v>44544</v>
      </c>
      <c r="E948" s="50">
        <v>194.39</v>
      </c>
      <c r="F948" s="50"/>
      <c r="G948" s="50"/>
      <c r="H948" s="50"/>
      <c r="I948" s="50"/>
    </row>
    <row r="949" spans="4:9">
      <c r="D949" s="49">
        <v>44543</v>
      </c>
      <c r="E949" s="50">
        <v>195.55</v>
      </c>
      <c r="F949" s="50"/>
      <c r="G949" s="50"/>
      <c r="H949" s="50"/>
      <c r="I949" s="50"/>
    </row>
    <row r="950" spans="4:9">
      <c r="D950" s="49">
        <v>44542</v>
      </c>
      <c r="E950" s="50">
        <v>197.1</v>
      </c>
      <c r="F950" s="50"/>
      <c r="G950" s="50"/>
      <c r="H950" s="50"/>
      <c r="I950" s="50"/>
    </row>
    <row r="951" spans="4:9">
      <c r="D951" s="49">
        <v>44541</v>
      </c>
      <c r="E951" s="50">
        <v>197.1</v>
      </c>
      <c r="F951" s="50"/>
      <c r="G951" s="50"/>
      <c r="H951" s="50"/>
      <c r="I951" s="50"/>
    </row>
    <row r="952" spans="4:9">
      <c r="D952" s="49">
        <v>44540</v>
      </c>
      <c r="E952" s="50">
        <v>197.1</v>
      </c>
      <c r="F952" s="50"/>
      <c r="G952" s="50"/>
      <c r="H952" s="50"/>
      <c r="I952" s="50"/>
    </row>
    <row r="953" spans="4:9">
      <c r="D953" s="49">
        <v>44539</v>
      </c>
      <c r="E953" s="50">
        <v>195.98</v>
      </c>
      <c r="F953" s="50"/>
      <c r="G953" s="50"/>
      <c r="H953" s="50"/>
      <c r="I953" s="50"/>
    </row>
    <row r="954" spans="4:9">
      <c r="D954" s="49">
        <v>44538</v>
      </c>
      <c r="E954" s="50">
        <v>198.1</v>
      </c>
      <c r="F954" s="50"/>
      <c r="G954" s="50"/>
      <c r="H954" s="50"/>
      <c r="I954" s="50"/>
    </row>
    <row r="955" spans="4:9">
      <c r="D955" s="49">
        <v>44537</v>
      </c>
      <c r="E955" s="50">
        <v>198.1</v>
      </c>
      <c r="F955" s="50"/>
      <c r="G955" s="50"/>
      <c r="H955" s="50"/>
      <c r="I955" s="50"/>
    </row>
    <row r="956" spans="4:9">
      <c r="D956" s="49">
        <v>44536</v>
      </c>
      <c r="E956" s="50">
        <v>201.96</v>
      </c>
      <c r="F956" s="50"/>
      <c r="G956" s="50"/>
      <c r="H956" s="50"/>
      <c r="I956" s="50"/>
    </row>
    <row r="957" spans="4:9">
      <c r="D957" s="49">
        <v>44535</v>
      </c>
      <c r="E957" s="50">
        <v>203.25</v>
      </c>
      <c r="F957" s="50"/>
      <c r="G957" s="50"/>
      <c r="H957" s="50"/>
      <c r="I957" s="50"/>
    </row>
    <row r="958" spans="4:9">
      <c r="D958" s="49">
        <v>44534</v>
      </c>
      <c r="E958" s="50">
        <v>203.25</v>
      </c>
      <c r="F958" s="50"/>
      <c r="G958" s="50"/>
      <c r="H958" s="50"/>
      <c r="I958" s="50"/>
    </row>
    <row r="959" spans="4:9">
      <c r="D959" s="49">
        <v>44533</v>
      </c>
      <c r="E959" s="50">
        <v>203.25</v>
      </c>
      <c r="F959" s="50"/>
      <c r="G959" s="50"/>
      <c r="H959" s="50"/>
      <c r="I959" s="50"/>
    </row>
    <row r="960" spans="4:9">
      <c r="D960" s="49">
        <v>44532</v>
      </c>
      <c r="E960" s="50">
        <v>203.33</v>
      </c>
      <c r="F960" s="50"/>
      <c r="G960" s="50"/>
      <c r="H960" s="50"/>
      <c r="I960" s="50"/>
    </row>
    <row r="961" spans="4:9">
      <c r="D961" s="49">
        <v>44531</v>
      </c>
      <c r="E961" s="50">
        <v>200.6</v>
      </c>
      <c r="F961" s="50"/>
      <c r="G961" s="50"/>
      <c r="H961" s="50"/>
      <c r="I961" s="50"/>
    </row>
    <row r="962" spans="4:9">
      <c r="D962" s="49">
        <v>44530</v>
      </c>
      <c r="E962" s="50">
        <v>200.72</v>
      </c>
      <c r="F962" s="50"/>
      <c r="G962" s="50"/>
      <c r="H962" s="50"/>
      <c r="I962" s="50"/>
    </row>
    <row r="963" spans="4:9">
      <c r="D963" s="49">
        <v>44529</v>
      </c>
      <c r="E963" s="50">
        <v>196.94</v>
      </c>
      <c r="F963" s="50"/>
      <c r="G963" s="50"/>
      <c r="H963" s="50"/>
      <c r="I963" s="50"/>
    </row>
    <row r="964" spans="4:9">
      <c r="D964" s="49">
        <v>44528</v>
      </c>
      <c r="E964" s="50">
        <v>200.17</v>
      </c>
      <c r="F964" s="50"/>
      <c r="G964" s="50"/>
      <c r="H964" s="50"/>
      <c r="I964" s="50"/>
    </row>
    <row r="965" spans="4:9">
      <c r="D965" s="49">
        <v>44527</v>
      </c>
      <c r="E965" s="50">
        <v>200.17</v>
      </c>
      <c r="F965" s="50"/>
      <c r="G965" s="50"/>
      <c r="H965" s="50"/>
      <c r="I965" s="50"/>
    </row>
    <row r="966" spans="4:9">
      <c r="D966" s="49">
        <v>44526</v>
      </c>
      <c r="E966" s="50">
        <v>200.17</v>
      </c>
      <c r="F966" s="50"/>
      <c r="G966" s="50"/>
      <c r="H966" s="50"/>
      <c r="I966" s="50"/>
    </row>
    <row r="967" spans="4:9">
      <c r="D967" s="49">
        <v>44525</v>
      </c>
      <c r="E967" s="50">
        <v>203.55</v>
      </c>
      <c r="F967" s="50"/>
      <c r="G967" s="50"/>
      <c r="H967" s="50"/>
      <c r="I967" s="50"/>
    </row>
    <row r="968" spans="4:9">
      <c r="D968" s="49">
        <v>44524</v>
      </c>
      <c r="E968" s="50">
        <v>204.88</v>
      </c>
      <c r="F968" s="50"/>
      <c r="G968" s="50"/>
      <c r="H968" s="50"/>
      <c r="I968" s="50"/>
    </row>
    <row r="969" spans="4:9">
      <c r="D969" s="49">
        <v>44523</v>
      </c>
      <c r="E969" s="50">
        <v>205.82</v>
      </c>
      <c r="F969" s="50"/>
      <c r="G969" s="50"/>
      <c r="H969" s="50"/>
      <c r="I969" s="50"/>
    </row>
    <row r="970" spans="4:9">
      <c r="D970" s="49">
        <v>44522</v>
      </c>
      <c r="E970" s="50">
        <v>203.03</v>
      </c>
      <c r="F970" s="50"/>
      <c r="G970" s="50"/>
      <c r="H970" s="50"/>
      <c r="I970" s="50"/>
    </row>
    <row r="971" spans="4:9">
      <c r="D971" s="49">
        <v>44521</v>
      </c>
      <c r="E971" s="50">
        <v>203.03</v>
      </c>
      <c r="F971" s="50"/>
      <c r="G971" s="50"/>
      <c r="H971" s="50"/>
      <c r="I971" s="50"/>
    </row>
    <row r="972" spans="4:9">
      <c r="D972" s="49">
        <v>44520</v>
      </c>
      <c r="E972" s="50">
        <v>203.03</v>
      </c>
      <c r="F972" s="50"/>
      <c r="G972" s="50"/>
      <c r="H972" s="50"/>
      <c r="I972" s="50"/>
    </row>
    <row r="973" spans="4:9">
      <c r="D973" s="49">
        <v>44519</v>
      </c>
      <c r="E973" s="50">
        <v>203.03</v>
      </c>
      <c r="F973" s="50"/>
      <c r="G973" s="50"/>
      <c r="H973" s="50"/>
      <c r="I973" s="50"/>
    </row>
    <row r="974" spans="4:9">
      <c r="D974" s="49">
        <v>44518</v>
      </c>
      <c r="E974" s="50">
        <v>204.52</v>
      </c>
      <c r="F974" s="50"/>
      <c r="G974" s="50"/>
      <c r="H974" s="50"/>
      <c r="I974" s="50"/>
    </row>
    <row r="975" spans="4:9">
      <c r="D975" s="49">
        <v>44517</v>
      </c>
      <c r="E975" s="50">
        <v>200</v>
      </c>
      <c r="F975" s="50"/>
      <c r="G975" s="50"/>
      <c r="H975" s="50"/>
      <c r="I975" s="50"/>
    </row>
    <row r="976" spans="4:9">
      <c r="D976" s="49">
        <v>44516</v>
      </c>
      <c r="E976" s="50">
        <v>200.3</v>
      </c>
      <c r="F976" s="50"/>
      <c r="G976" s="50"/>
      <c r="H976" s="50"/>
      <c r="I976" s="50"/>
    </row>
    <row r="977" spans="4:9">
      <c r="D977" s="49">
        <v>44515</v>
      </c>
      <c r="E977" s="50">
        <v>188.78</v>
      </c>
      <c r="F977" s="50"/>
      <c r="G977" s="50"/>
      <c r="H977" s="50"/>
      <c r="I977" s="50"/>
    </row>
    <row r="978" spans="4:9">
      <c r="D978" s="49">
        <v>44514</v>
      </c>
      <c r="E978" s="50">
        <v>183.98</v>
      </c>
      <c r="F978" s="50"/>
      <c r="G978" s="50"/>
      <c r="H978" s="50"/>
      <c r="I978" s="50"/>
    </row>
    <row r="979" spans="4:9">
      <c r="D979" s="49">
        <v>44513</v>
      </c>
      <c r="E979" s="50">
        <v>183.98</v>
      </c>
      <c r="F979" s="50"/>
      <c r="G979" s="50"/>
      <c r="H979" s="50"/>
      <c r="I979" s="50"/>
    </row>
    <row r="980" spans="4:9">
      <c r="D980" s="49">
        <v>44512</v>
      </c>
      <c r="E980" s="50">
        <v>183.98</v>
      </c>
      <c r="F980" s="50"/>
      <c r="G980" s="50"/>
      <c r="H980" s="50"/>
      <c r="I980" s="50"/>
    </row>
    <row r="981" spans="4:9">
      <c r="D981" s="49">
        <v>44511</v>
      </c>
      <c r="E981" s="50">
        <v>183.23</v>
      </c>
      <c r="F981" s="50"/>
      <c r="G981" s="50"/>
      <c r="H981" s="50"/>
      <c r="I981" s="50"/>
    </row>
    <row r="982" spans="4:9">
      <c r="D982" s="49">
        <v>44510</v>
      </c>
      <c r="E982" s="50">
        <v>182.74</v>
      </c>
      <c r="F982" s="50"/>
      <c r="G982" s="50"/>
      <c r="H982" s="50"/>
      <c r="I982" s="50"/>
    </row>
    <row r="983" spans="4:9">
      <c r="D983" s="49">
        <v>44509</v>
      </c>
      <c r="E983" s="50">
        <v>182.46</v>
      </c>
      <c r="F983" s="50"/>
      <c r="G983" s="50"/>
      <c r="H983" s="50"/>
      <c r="I983" s="50"/>
    </row>
    <row r="984" spans="4:9">
      <c r="D984" s="49">
        <v>44508</v>
      </c>
      <c r="E984" s="50">
        <v>181.86</v>
      </c>
      <c r="F984" s="50"/>
      <c r="G984" s="50"/>
      <c r="H984" s="50"/>
      <c r="I984" s="50"/>
    </row>
    <row r="985" spans="4:9">
      <c r="D985" s="49">
        <v>44507</v>
      </c>
      <c r="E985" s="50">
        <v>181.26</v>
      </c>
      <c r="F985" s="50"/>
      <c r="G985" s="50"/>
      <c r="H985" s="50"/>
      <c r="I985" s="50"/>
    </row>
    <row r="986" spans="4:9">
      <c r="D986" s="49">
        <v>44506</v>
      </c>
      <c r="E986" s="50">
        <v>181.26</v>
      </c>
      <c r="F986" s="50"/>
      <c r="G986" s="50"/>
      <c r="H986" s="50"/>
      <c r="I986" s="50"/>
    </row>
    <row r="987" spans="4:9">
      <c r="D987" s="49">
        <v>44505</v>
      </c>
      <c r="E987" s="50">
        <v>181.26</v>
      </c>
      <c r="F987" s="50"/>
      <c r="G987" s="50"/>
      <c r="H987" s="50"/>
      <c r="I987" s="50"/>
    </row>
    <row r="988" spans="4:9">
      <c r="D988" s="49">
        <v>44504</v>
      </c>
      <c r="E988" s="50">
        <v>180.56</v>
      </c>
      <c r="F988" s="50"/>
      <c r="G988" s="50"/>
      <c r="H988" s="50"/>
      <c r="I988" s="50"/>
    </row>
    <row r="989" spans="4:9">
      <c r="D989" s="49">
        <v>44503</v>
      </c>
      <c r="E989" s="50">
        <v>180.07</v>
      </c>
      <c r="F989" s="50"/>
      <c r="G989" s="50"/>
      <c r="H989" s="50"/>
      <c r="I989" s="50"/>
    </row>
    <row r="990" spans="4:9">
      <c r="D990" s="49">
        <v>44502</v>
      </c>
      <c r="E990" s="50">
        <v>179.32</v>
      </c>
      <c r="F990" s="50"/>
      <c r="G990" s="50"/>
      <c r="H990" s="50"/>
      <c r="I990" s="50"/>
    </row>
    <row r="991" spans="4:9">
      <c r="D991" s="49">
        <v>44501</v>
      </c>
      <c r="E991" s="50">
        <v>179.22</v>
      </c>
      <c r="F991" s="50"/>
      <c r="G991" s="50"/>
      <c r="H991" s="50"/>
      <c r="I991" s="50"/>
    </row>
    <row r="992" spans="4:9">
      <c r="D992" s="49">
        <v>44500</v>
      </c>
      <c r="E992" s="50">
        <v>179.22</v>
      </c>
      <c r="F992" s="50"/>
      <c r="G992" s="50"/>
      <c r="H992" s="50"/>
      <c r="I992" s="50"/>
    </row>
    <row r="993" spans="4:9">
      <c r="D993" s="49">
        <v>44499</v>
      </c>
      <c r="E993" s="50">
        <v>179.22</v>
      </c>
      <c r="F993" s="50"/>
      <c r="G993" s="50"/>
      <c r="H993" s="50"/>
      <c r="I993" s="50"/>
    </row>
    <row r="994" spans="4:9">
      <c r="D994" s="49">
        <v>44498</v>
      </c>
      <c r="E994" s="50">
        <v>179.22</v>
      </c>
      <c r="F994" s="50"/>
      <c r="G994" s="50"/>
      <c r="H994" s="50"/>
      <c r="I994" s="50"/>
    </row>
    <row r="995" spans="4:9">
      <c r="D995" s="49">
        <v>44497</v>
      </c>
      <c r="E995" s="50">
        <v>179.23</v>
      </c>
      <c r="F995" s="50"/>
      <c r="G995" s="50"/>
      <c r="H995" s="50"/>
      <c r="I995" s="50"/>
    </row>
    <row r="996" spans="4:9">
      <c r="D996" s="49">
        <v>44496</v>
      </c>
      <c r="E996" s="50">
        <v>179.23</v>
      </c>
      <c r="F996" s="50"/>
      <c r="G996" s="50"/>
      <c r="H996" s="50"/>
      <c r="I996" s="50"/>
    </row>
    <row r="997" spans="4:9">
      <c r="D997" s="49">
        <v>44495</v>
      </c>
      <c r="E997" s="50">
        <v>179.24</v>
      </c>
      <c r="F997" s="50"/>
      <c r="G997" s="50"/>
      <c r="H997" s="50"/>
      <c r="I997" s="50"/>
    </row>
    <row r="998" spans="4:9">
      <c r="D998" s="49">
        <v>44494</v>
      </c>
      <c r="E998" s="50">
        <v>179.23</v>
      </c>
      <c r="F998" s="50"/>
      <c r="G998" s="50"/>
      <c r="H998" s="50"/>
      <c r="I998" s="50"/>
    </row>
    <row r="999" spans="4:9">
      <c r="D999" s="49">
        <v>44493</v>
      </c>
      <c r="E999" s="50">
        <v>179.23</v>
      </c>
      <c r="F999" s="50"/>
      <c r="G999" s="50"/>
      <c r="H999" s="50"/>
      <c r="I999" s="50"/>
    </row>
    <row r="1000" spans="4:9">
      <c r="D1000" s="49">
        <v>44492</v>
      </c>
      <c r="E1000" s="50">
        <v>179.23</v>
      </c>
      <c r="F1000" s="50"/>
      <c r="G1000" s="50"/>
      <c r="H1000" s="50"/>
      <c r="I1000" s="50"/>
    </row>
    <row r="1001" spans="4:9">
      <c r="D1001" s="49">
        <v>44491</v>
      </c>
      <c r="E1001" s="50">
        <v>179.23</v>
      </c>
      <c r="F1001" s="50"/>
      <c r="G1001" s="50"/>
      <c r="H1001" s="50"/>
      <c r="I1001" s="50"/>
    </row>
    <row r="1002" spans="4:9">
      <c r="D1002" s="49">
        <v>44490</v>
      </c>
      <c r="E1002" s="50">
        <v>178.83</v>
      </c>
      <c r="F1002" s="50"/>
      <c r="G1002" s="50"/>
      <c r="H1002" s="50"/>
      <c r="I1002" s="50"/>
    </row>
    <row r="1003" spans="4:9">
      <c r="D1003" s="49">
        <v>44489</v>
      </c>
      <c r="E1003" s="50">
        <v>178.6</v>
      </c>
      <c r="F1003" s="50"/>
      <c r="G1003" s="50"/>
      <c r="H1003" s="50"/>
      <c r="I1003" s="50"/>
    </row>
    <row r="1004" spans="4:9">
      <c r="D1004" s="49">
        <v>44488</v>
      </c>
      <c r="E1004" s="50">
        <v>178.36</v>
      </c>
      <c r="F1004" s="50"/>
      <c r="G1004" s="50"/>
      <c r="H1004" s="50"/>
      <c r="I1004" s="50"/>
    </row>
    <row r="1005" spans="4:9">
      <c r="D1005" s="49">
        <v>44487</v>
      </c>
      <c r="E1005" s="50">
        <v>178.02</v>
      </c>
      <c r="F1005" s="50"/>
      <c r="G1005" s="50"/>
      <c r="H1005" s="50"/>
      <c r="I1005" s="50"/>
    </row>
    <row r="1006" spans="4:9">
      <c r="D1006" s="49">
        <v>44486</v>
      </c>
      <c r="E1006" s="50">
        <v>177.68</v>
      </c>
      <c r="F1006" s="50"/>
      <c r="G1006" s="50"/>
      <c r="H1006" s="50"/>
      <c r="I1006" s="50"/>
    </row>
    <row r="1007" spans="4:9">
      <c r="D1007" s="49">
        <v>44485</v>
      </c>
      <c r="E1007" s="50">
        <v>177.68</v>
      </c>
      <c r="F1007" s="50"/>
      <c r="G1007" s="50"/>
      <c r="H1007" s="50"/>
      <c r="I1007" s="50"/>
    </row>
    <row r="1008" spans="4:9">
      <c r="D1008" s="49">
        <v>44484</v>
      </c>
      <c r="E1008" s="50">
        <v>177.68</v>
      </c>
      <c r="F1008" s="50"/>
      <c r="G1008" s="50"/>
      <c r="H1008" s="50"/>
      <c r="I1008" s="50"/>
    </row>
    <row r="1009" spans="4:9">
      <c r="D1009" s="49">
        <v>44483</v>
      </c>
      <c r="E1009" s="50">
        <v>177.43</v>
      </c>
      <c r="F1009" s="50"/>
      <c r="G1009" s="50"/>
      <c r="H1009" s="50"/>
      <c r="I1009" s="50"/>
    </row>
    <row r="1010" spans="4:9">
      <c r="D1010" s="49">
        <v>44482</v>
      </c>
      <c r="E1010" s="50">
        <v>177.1</v>
      </c>
      <c r="F1010" s="50"/>
      <c r="G1010" s="50"/>
      <c r="H1010" s="50"/>
      <c r="I1010" s="50"/>
    </row>
    <row r="1011" spans="4:9">
      <c r="D1011" s="49">
        <v>44481</v>
      </c>
      <c r="E1011" s="50">
        <v>176.78</v>
      </c>
      <c r="F1011" s="50"/>
      <c r="G1011" s="50"/>
      <c r="H1011" s="50"/>
      <c r="I1011" s="50"/>
    </row>
    <row r="1012" spans="4:9">
      <c r="D1012" s="49">
        <v>44480</v>
      </c>
      <c r="E1012" s="50">
        <v>176.45</v>
      </c>
      <c r="F1012" s="50"/>
      <c r="G1012" s="50"/>
      <c r="H1012" s="50"/>
      <c r="I1012" s="50"/>
    </row>
    <row r="1013" spans="4:9">
      <c r="D1013" s="49">
        <v>44479</v>
      </c>
      <c r="E1013" s="50">
        <v>176.45</v>
      </c>
      <c r="F1013" s="50"/>
      <c r="G1013" s="50"/>
      <c r="H1013" s="50"/>
      <c r="I1013" s="50"/>
    </row>
    <row r="1014" spans="4:9">
      <c r="D1014" s="49">
        <v>44478</v>
      </c>
      <c r="E1014" s="50">
        <v>176.45</v>
      </c>
      <c r="F1014" s="50"/>
      <c r="G1014" s="50"/>
      <c r="H1014" s="50"/>
      <c r="I1014" s="50"/>
    </row>
    <row r="1015" spans="4:9">
      <c r="D1015" s="49">
        <v>44477</v>
      </c>
      <c r="E1015" s="50">
        <v>176.45</v>
      </c>
      <c r="F1015" s="50"/>
      <c r="G1015" s="50"/>
      <c r="H1015" s="50"/>
      <c r="I1015" s="50"/>
    </row>
    <row r="1016" spans="4:9">
      <c r="D1016" s="49">
        <v>44476</v>
      </c>
      <c r="E1016" s="50">
        <v>176.45</v>
      </c>
      <c r="F1016" s="50"/>
      <c r="G1016" s="50"/>
      <c r="H1016" s="50"/>
      <c r="I1016" s="50"/>
    </row>
    <row r="1017" spans="4:9">
      <c r="D1017" s="49">
        <v>44475</v>
      </c>
      <c r="E1017" s="50">
        <v>176.33</v>
      </c>
      <c r="F1017" s="50"/>
      <c r="G1017" s="50"/>
      <c r="H1017" s="50"/>
      <c r="I1017" s="50"/>
    </row>
    <row r="1018" spans="4:9">
      <c r="D1018" s="49">
        <v>44474</v>
      </c>
      <c r="E1018" s="50">
        <v>176.34</v>
      </c>
      <c r="F1018" s="50"/>
      <c r="G1018" s="50"/>
      <c r="H1018" s="50"/>
      <c r="I1018" s="50"/>
    </row>
    <row r="1019" spans="4:9">
      <c r="D1019" s="49">
        <v>44473</v>
      </c>
      <c r="E1019" s="50">
        <v>175.89</v>
      </c>
      <c r="F1019" s="50"/>
      <c r="G1019" s="50"/>
      <c r="H1019" s="50"/>
      <c r="I1019" s="50"/>
    </row>
    <row r="1020" spans="4:9">
      <c r="D1020" s="49">
        <v>44472</v>
      </c>
      <c r="E1020" s="50">
        <v>175.47</v>
      </c>
      <c r="F1020" s="50"/>
      <c r="G1020" s="50"/>
      <c r="H1020" s="50"/>
      <c r="I1020" s="50"/>
    </row>
    <row r="1021" spans="4:9">
      <c r="D1021" s="49">
        <v>44471</v>
      </c>
      <c r="E1021" s="50">
        <v>175.47</v>
      </c>
      <c r="F1021" s="50"/>
      <c r="G1021" s="50"/>
      <c r="H1021" s="50"/>
      <c r="I1021" s="50"/>
    </row>
    <row r="1022" spans="4:9">
      <c r="D1022" s="49">
        <v>44470</v>
      </c>
      <c r="E1022" s="50">
        <v>175.47</v>
      </c>
      <c r="F1022" s="50"/>
      <c r="G1022" s="50"/>
      <c r="H1022" s="50"/>
      <c r="I1022" s="50"/>
    </row>
    <row r="1023" spans="4:9">
      <c r="D1023" s="49">
        <v>44469</v>
      </c>
      <c r="E1023" s="50">
        <v>175.03</v>
      </c>
      <c r="F1023" s="50"/>
      <c r="G1023" s="50"/>
      <c r="H1023" s="50"/>
      <c r="I1023" s="50"/>
    </row>
    <row r="1024" spans="4:9">
      <c r="D1024" s="49">
        <v>44468</v>
      </c>
      <c r="E1024" s="50">
        <v>174.64</v>
      </c>
      <c r="F1024" s="50"/>
      <c r="G1024" s="50"/>
      <c r="H1024" s="50"/>
      <c r="I1024" s="50"/>
    </row>
    <row r="1025" spans="4:9">
      <c r="D1025" s="49">
        <v>44467</v>
      </c>
      <c r="E1025" s="50">
        <v>174.41</v>
      </c>
      <c r="F1025" s="50"/>
      <c r="G1025" s="50"/>
      <c r="H1025" s="50"/>
      <c r="I1025" s="50"/>
    </row>
    <row r="1026" spans="4:9">
      <c r="D1026" s="49">
        <v>44466</v>
      </c>
      <c r="E1026" s="50">
        <v>173.92</v>
      </c>
      <c r="F1026" s="50"/>
      <c r="G1026" s="50"/>
      <c r="H1026" s="50"/>
      <c r="I1026" s="50"/>
    </row>
    <row r="1027" spans="4:9">
      <c r="D1027" s="49">
        <v>44465</v>
      </c>
      <c r="E1027" s="50">
        <v>173.42</v>
      </c>
      <c r="F1027" s="50"/>
      <c r="G1027" s="50"/>
      <c r="H1027" s="50"/>
      <c r="I1027" s="50"/>
    </row>
    <row r="1028" spans="4:9">
      <c r="D1028" s="49">
        <v>44464</v>
      </c>
      <c r="E1028" s="50">
        <v>173.42</v>
      </c>
      <c r="F1028" s="50"/>
      <c r="G1028" s="50"/>
      <c r="H1028" s="50"/>
      <c r="I1028" s="50"/>
    </row>
    <row r="1029" spans="4:9">
      <c r="D1029" s="49">
        <v>44463</v>
      </c>
      <c r="E1029" s="50">
        <v>173.42</v>
      </c>
      <c r="F1029" s="50"/>
      <c r="G1029" s="50"/>
      <c r="H1029" s="50"/>
      <c r="I1029" s="50"/>
    </row>
    <row r="1030" spans="4:9">
      <c r="D1030" s="49">
        <v>44462</v>
      </c>
      <c r="E1030" s="50">
        <v>173.33</v>
      </c>
      <c r="F1030" s="50"/>
      <c r="G1030" s="50"/>
      <c r="H1030" s="50"/>
      <c r="I1030" s="50"/>
    </row>
    <row r="1031" spans="4:9">
      <c r="D1031" s="49">
        <v>44461</v>
      </c>
      <c r="E1031" s="50">
        <v>172.99</v>
      </c>
      <c r="F1031" s="50"/>
      <c r="G1031" s="50"/>
      <c r="H1031" s="50"/>
      <c r="I1031" s="50"/>
    </row>
    <row r="1032" spans="4:9">
      <c r="D1032" s="49">
        <v>44460</v>
      </c>
      <c r="E1032" s="50">
        <v>172.67</v>
      </c>
      <c r="F1032" s="50"/>
      <c r="G1032" s="50"/>
      <c r="H1032" s="50"/>
      <c r="I1032" s="50"/>
    </row>
    <row r="1033" spans="4:9">
      <c r="D1033" s="49">
        <v>44459</v>
      </c>
      <c r="E1033" s="50">
        <v>172.68</v>
      </c>
      <c r="F1033" s="50"/>
      <c r="G1033" s="50"/>
      <c r="H1033" s="50"/>
      <c r="I1033" s="50"/>
    </row>
    <row r="1034" spans="4:9">
      <c r="D1034" s="49">
        <v>44458</v>
      </c>
      <c r="E1034" s="50">
        <v>172.44</v>
      </c>
      <c r="F1034" s="50"/>
      <c r="G1034" s="50"/>
      <c r="H1034" s="50"/>
      <c r="I1034" s="50"/>
    </row>
    <row r="1035" spans="4:9">
      <c r="D1035" s="49">
        <v>44457</v>
      </c>
      <c r="E1035" s="50">
        <v>172.44</v>
      </c>
      <c r="F1035" s="50"/>
      <c r="G1035" s="50"/>
      <c r="H1035" s="50"/>
      <c r="I1035" s="50"/>
    </row>
    <row r="1036" spans="4:9">
      <c r="D1036" s="49">
        <v>44456</v>
      </c>
      <c r="E1036" s="50">
        <v>172.44</v>
      </c>
      <c r="F1036" s="50"/>
      <c r="G1036" s="50"/>
      <c r="H1036" s="50"/>
      <c r="I1036" s="50"/>
    </row>
    <row r="1037" spans="4:9">
      <c r="D1037" s="49">
        <v>44455</v>
      </c>
      <c r="E1037" s="50">
        <v>172.32</v>
      </c>
      <c r="F1037" s="50"/>
      <c r="G1037" s="50"/>
      <c r="H1037" s="50"/>
      <c r="I1037" s="50"/>
    </row>
    <row r="1038" spans="4:9">
      <c r="D1038" s="49">
        <v>44454</v>
      </c>
      <c r="E1038" s="50">
        <v>171.83</v>
      </c>
      <c r="F1038" s="50"/>
      <c r="G1038" s="50"/>
      <c r="H1038" s="50"/>
      <c r="I1038" s="50"/>
    </row>
    <row r="1039" spans="4:9">
      <c r="D1039" s="49">
        <v>44453</v>
      </c>
      <c r="E1039" s="50">
        <v>171.44</v>
      </c>
      <c r="F1039" s="50"/>
      <c r="G1039" s="50"/>
      <c r="H1039" s="50"/>
      <c r="I1039" s="50"/>
    </row>
    <row r="1040" spans="4:9">
      <c r="D1040" s="49">
        <v>44452</v>
      </c>
      <c r="E1040" s="50">
        <v>171.04</v>
      </c>
      <c r="F1040" s="50"/>
      <c r="G1040" s="50"/>
      <c r="H1040" s="50"/>
      <c r="I1040" s="50"/>
    </row>
    <row r="1041" spans="4:9">
      <c r="D1041" s="49">
        <v>44451</v>
      </c>
      <c r="E1041" s="50">
        <v>170.65</v>
      </c>
      <c r="F1041" s="50"/>
      <c r="G1041" s="50"/>
      <c r="H1041" s="50"/>
      <c r="I1041" s="50"/>
    </row>
    <row r="1042" spans="4:9">
      <c r="D1042" s="49">
        <v>44450</v>
      </c>
      <c r="E1042" s="50">
        <v>170.65</v>
      </c>
      <c r="F1042" s="50"/>
      <c r="G1042" s="50"/>
      <c r="H1042" s="50"/>
      <c r="I1042" s="50"/>
    </row>
    <row r="1043" spans="4:9">
      <c r="D1043" s="49">
        <v>44449</v>
      </c>
      <c r="E1043" s="50">
        <v>170.65</v>
      </c>
      <c r="F1043" s="50"/>
      <c r="G1043" s="50"/>
      <c r="H1043" s="50"/>
      <c r="I1043" s="50"/>
    </row>
    <row r="1044" spans="4:9">
      <c r="D1044" s="49">
        <v>44448</v>
      </c>
      <c r="E1044" s="50">
        <v>170.67</v>
      </c>
      <c r="F1044" s="50"/>
      <c r="G1044" s="50"/>
      <c r="H1044" s="50"/>
      <c r="I1044" s="50"/>
    </row>
    <row r="1045" spans="4:9">
      <c r="D1045" s="49">
        <v>44447</v>
      </c>
      <c r="E1045" s="50">
        <v>170.68</v>
      </c>
      <c r="F1045" s="50"/>
      <c r="G1045" s="50"/>
      <c r="H1045" s="50"/>
      <c r="I1045" s="50"/>
    </row>
    <row r="1046" spans="4:9">
      <c r="D1046" s="49">
        <v>44446</v>
      </c>
      <c r="E1046" s="50">
        <v>171.2</v>
      </c>
      <c r="F1046" s="50"/>
      <c r="G1046" s="50"/>
      <c r="H1046" s="50"/>
      <c r="I1046" s="50"/>
    </row>
    <row r="1047" spans="4:9">
      <c r="D1047" s="49">
        <v>44445</v>
      </c>
      <c r="E1047" s="50">
        <v>170.82</v>
      </c>
      <c r="F1047" s="50"/>
      <c r="G1047" s="50"/>
      <c r="H1047" s="50"/>
      <c r="I1047" s="50"/>
    </row>
    <row r="1048" spans="4:9">
      <c r="D1048" s="49">
        <v>44444</v>
      </c>
      <c r="E1048" s="50">
        <v>170.58</v>
      </c>
      <c r="F1048" s="50"/>
      <c r="G1048" s="50"/>
      <c r="H1048" s="50"/>
      <c r="I1048" s="50"/>
    </row>
    <row r="1049" spans="4:9">
      <c r="D1049" s="49">
        <v>44443</v>
      </c>
      <c r="E1049" s="50">
        <v>170.58</v>
      </c>
      <c r="F1049" s="50"/>
      <c r="G1049" s="50"/>
      <c r="H1049" s="50"/>
      <c r="I1049" s="50"/>
    </row>
    <row r="1050" spans="4:9">
      <c r="D1050" s="49">
        <v>44442</v>
      </c>
      <c r="E1050" s="50">
        <v>170.58</v>
      </c>
      <c r="F1050" s="50"/>
      <c r="G1050" s="50"/>
      <c r="H1050" s="50"/>
      <c r="I1050" s="50"/>
    </row>
    <row r="1051" spans="4:9">
      <c r="D1051" s="49">
        <v>44441</v>
      </c>
      <c r="E1051" s="50">
        <v>170.58</v>
      </c>
      <c r="F1051" s="50"/>
      <c r="G1051" s="50"/>
      <c r="H1051" s="50"/>
      <c r="I1051" s="50"/>
    </row>
    <row r="1052" spans="4:9">
      <c r="D1052" s="49">
        <v>44440</v>
      </c>
      <c r="E1052" s="50">
        <v>170.42</v>
      </c>
      <c r="F1052" s="50"/>
      <c r="G1052" s="50"/>
      <c r="H1052" s="50"/>
      <c r="I1052" s="50"/>
    </row>
    <row r="1053" spans="4:9">
      <c r="D1053" s="49">
        <v>44439</v>
      </c>
      <c r="E1053" s="50">
        <v>170.26</v>
      </c>
      <c r="F1053" s="50"/>
      <c r="G1053" s="50"/>
      <c r="H1053" s="50"/>
      <c r="I1053" s="50"/>
    </row>
    <row r="1054" spans="4:9">
      <c r="D1054" s="49">
        <v>44438</v>
      </c>
      <c r="E1054" s="50">
        <v>169.98</v>
      </c>
      <c r="F1054" s="50"/>
      <c r="G1054" s="50"/>
      <c r="H1054" s="50"/>
      <c r="I1054" s="50"/>
    </row>
    <row r="1055" spans="4:9">
      <c r="D1055" s="49">
        <v>44437</v>
      </c>
      <c r="E1055" s="50">
        <v>169.97</v>
      </c>
      <c r="F1055" s="50"/>
      <c r="G1055" s="50"/>
      <c r="H1055" s="50"/>
      <c r="I1055" s="50"/>
    </row>
    <row r="1056" spans="4:9">
      <c r="D1056" s="49">
        <v>44436</v>
      </c>
      <c r="E1056" s="50">
        <v>169.97</v>
      </c>
      <c r="F1056" s="50"/>
      <c r="G1056" s="50"/>
      <c r="H1056" s="50"/>
      <c r="I1056" s="50"/>
    </row>
    <row r="1057" spans="4:9">
      <c r="D1057" s="49">
        <v>44435</v>
      </c>
      <c r="E1057" s="50">
        <v>169.97</v>
      </c>
      <c r="F1057" s="50"/>
      <c r="G1057" s="50"/>
      <c r="H1057" s="50"/>
      <c r="I1057" s="50"/>
    </row>
    <row r="1058" spans="4:9">
      <c r="D1058" s="49">
        <v>44434</v>
      </c>
      <c r="E1058" s="50">
        <v>169.96</v>
      </c>
      <c r="F1058" s="50"/>
      <c r="G1058" s="50"/>
      <c r="H1058" s="50"/>
      <c r="I1058" s="50"/>
    </row>
    <row r="1059" spans="4:9">
      <c r="D1059" s="49">
        <v>44433</v>
      </c>
      <c r="E1059" s="50">
        <v>169.66</v>
      </c>
      <c r="F1059" s="50"/>
      <c r="G1059" s="50"/>
      <c r="H1059" s="50"/>
      <c r="I1059" s="50"/>
    </row>
    <row r="1060" spans="4:9">
      <c r="D1060" s="49">
        <v>44432</v>
      </c>
      <c r="E1060" s="50">
        <v>169.43</v>
      </c>
      <c r="F1060" s="50"/>
      <c r="G1060" s="50"/>
      <c r="H1060" s="50"/>
      <c r="I1060" s="50"/>
    </row>
    <row r="1061" spans="4:9">
      <c r="D1061" s="49">
        <v>44431</v>
      </c>
      <c r="E1061" s="50">
        <v>169.46</v>
      </c>
      <c r="F1061" s="50"/>
      <c r="G1061" s="50"/>
      <c r="H1061" s="50"/>
      <c r="I1061" s="50"/>
    </row>
    <row r="1062" spans="4:9">
      <c r="D1062" s="49">
        <v>44430</v>
      </c>
      <c r="E1062" s="50">
        <v>169.32</v>
      </c>
      <c r="F1062" s="50"/>
      <c r="G1062" s="50"/>
      <c r="H1062" s="50"/>
      <c r="I1062" s="50"/>
    </row>
    <row r="1063" spans="4:9">
      <c r="D1063" s="49">
        <v>44429</v>
      </c>
      <c r="E1063" s="50">
        <v>169.32</v>
      </c>
      <c r="F1063" s="50"/>
      <c r="G1063" s="50"/>
      <c r="H1063" s="50"/>
      <c r="I1063" s="50"/>
    </row>
    <row r="1064" spans="4:9">
      <c r="D1064" s="49">
        <v>44428</v>
      </c>
      <c r="E1064" s="50">
        <v>169.32</v>
      </c>
      <c r="F1064" s="50"/>
      <c r="G1064" s="50"/>
      <c r="H1064" s="50"/>
      <c r="I1064" s="50"/>
    </row>
    <row r="1065" spans="4:9">
      <c r="D1065" s="49">
        <v>44427</v>
      </c>
      <c r="E1065" s="50">
        <v>169.36</v>
      </c>
      <c r="F1065" s="50"/>
      <c r="G1065" s="50"/>
      <c r="H1065" s="50"/>
      <c r="I1065" s="50"/>
    </row>
    <row r="1066" spans="4:9">
      <c r="D1066" s="49">
        <v>44426</v>
      </c>
      <c r="E1066" s="50">
        <v>169.39</v>
      </c>
      <c r="F1066" s="50"/>
      <c r="G1066" s="50"/>
      <c r="H1066" s="50"/>
      <c r="I1066" s="50"/>
    </row>
    <row r="1067" spans="4:9">
      <c r="D1067" s="49">
        <v>44425</v>
      </c>
      <c r="E1067" s="50">
        <v>169.41</v>
      </c>
      <c r="F1067" s="50"/>
      <c r="G1067" s="50"/>
      <c r="H1067" s="50"/>
      <c r="I1067" s="50"/>
    </row>
    <row r="1068" spans="4:9">
      <c r="D1068" s="49">
        <v>44424</v>
      </c>
      <c r="E1068" s="50">
        <v>169.45</v>
      </c>
      <c r="F1068" s="50"/>
      <c r="G1068" s="50"/>
      <c r="H1068" s="50"/>
      <c r="I1068" s="50"/>
    </row>
    <row r="1069" spans="4:9">
      <c r="D1069" s="49">
        <v>44423</v>
      </c>
      <c r="E1069" s="50">
        <v>169.45</v>
      </c>
      <c r="F1069" s="50"/>
      <c r="G1069" s="50"/>
      <c r="H1069" s="50"/>
      <c r="I1069" s="50"/>
    </row>
    <row r="1070" spans="4:9">
      <c r="D1070" s="49">
        <v>44422</v>
      </c>
      <c r="E1070" s="50">
        <v>169.45</v>
      </c>
      <c r="F1070" s="50"/>
      <c r="G1070" s="50"/>
      <c r="H1070" s="50"/>
      <c r="I1070" s="50"/>
    </row>
    <row r="1071" spans="4:9">
      <c r="D1071" s="49">
        <v>44421</v>
      </c>
      <c r="E1071" s="50">
        <v>169.45</v>
      </c>
      <c r="F1071" s="50"/>
      <c r="G1071" s="50"/>
      <c r="H1071" s="50"/>
      <c r="I1071" s="50"/>
    </row>
    <row r="1072" spans="4:9">
      <c r="D1072" s="49">
        <v>44420</v>
      </c>
      <c r="E1072" s="50">
        <v>169.62</v>
      </c>
      <c r="F1072" s="50"/>
      <c r="G1072" s="50"/>
      <c r="H1072" s="50"/>
      <c r="I1072" s="50"/>
    </row>
    <row r="1073" spans="4:9">
      <c r="D1073" s="49">
        <v>44419</v>
      </c>
      <c r="E1073" s="50">
        <v>170.03</v>
      </c>
      <c r="F1073" s="50"/>
      <c r="G1073" s="50"/>
      <c r="H1073" s="50"/>
      <c r="I1073" s="50"/>
    </row>
    <row r="1074" spans="4:9">
      <c r="D1074" s="49">
        <v>44418</v>
      </c>
      <c r="E1074" s="50">
        <v>169.87</v>
      </c>
      <c r="F1074" s="50"/>
      <c r="G1074" s="50"/>
      <c r="H1074" s="50"/>
      <c r="I1074" s="50"/>
    </row>
    <row r="1075" spans="4:9">
      <c r="D1075" s="49">
        <v>44417</v>
      </c>
      <c r="E1075" s="50">
        <v>169.94</v>
      </c>
      <c r="F1075" s="50"/>
      <c r="G1075" s="50"/>
      <c r="H1075" s="50"/>
      <c r="I1075" s="50"/>
    </row>
    <row r="1076" spans="4:9">
      <c r="D1076" s="49">
        <v>44416</v>
      </c>
      <c r="E1076" s="50">
        <v>170.09</v>
      </c>
      <c r="F1076" s="50"/>
      <c r="G1076" s="50"/>
      <c r="H1076" s="50"/>
      <c r="I1076" s="50"/>
    </row>
    <row r="1077" spans="4:9">
      <c r="D1077" s="49">
        <v>44415</v>
      </c>
      <c r="E1077" s="50">
        <v>170.09</v>
      </c>
      <c r="F1077" s="50"/>
      <c r="G1077" s="50"/>
      <c r="H1077" s="50"/>
      <c r="I1077" s="50"/>
    </row>
    <row r="1078" spans="4:9">
      <c r="D1078" s="49">
        <v>44414</v>
      </c>
      <c r="E1078" s="50">
        <v>170.09</v>
      </c>
      <c r="F1078" s="50"/>
      <c r="G1078" s="50"/>
      <c r="H1078" s="50"/>
      <c r="I1078" s="50"/>
    </row>
    <row r="1079" spans="4:9">
      <c r="D1079" s="49">
        <v>44413</v>
      </c>
      <c r="E1079" s="50">
        <v>169.93</v>
      </c>
      <c r="F1079" s="50"/>
      <c r="G1079" s="50"/>
      <c r="H1079" s="50"/>
      <c r="I1079" s="50"/>
    </row>
    <row r="1080" spans="4:9">
      <c r="D1080" s="49">
        <v>44412</v>
      </c>
      <c r="E1080" s="50">
        <v>169.73</v>
      </c>
      <c r="F1080" s="50"/>
      <c r="G1080" s="50"/>
      <c r="H1080" s="50"/>
      <c r="I1080" s="50"/>
    </row>
    <row r="1081" spans="4:9">
      <c r="D1081" s="49">
        <v>44411</v>
      </c>
      <c r="E1081" s="50">
        <v>169.57</v>
      </c>
      <c r="F1081" s="50"/>
      <c r="G1081" s="50"/>
      <c r="H1081" s="50"/>
      <c r="I1081" s="50"/>
    </row>
    <row r="1082" spans="4:9">
      <c r="D1082" s="49">
        <v>44410</v>
      </c>
      <c r="E1082" s="50">
        <v>168.67</v>
      </c>
      <c r="F1082" s="50"/>
      <c r="G1082" s="50"/>
      <c r="H1082" s="50"/>
      <c r="I1082" s="50"/>
    </row>
    <row r="1083" spans="4:9">
      <c r="D1083" s="49">
        <v>44409</v>
      </c>
      <c r="E1083" s="50">
        <v>168.19</v>
      </c>
      <c r="F1083" s="50"/>
      <c r="G1083" s="50"/>
      <c r="H1083" s="50"/>
      <c r="I1083" s="50"/>
    </row>
    <row r="1084" spans="4:9">
      <c r="D1084" s="49">
        <v>44408</v>
      </c>
      <c r="E1084" s="50">
        <v>168.19</v>
      </c>
      <c r="F1084" s="50"/>
      <c r="G1084" s="50"/>
      <c r="H1084" s="50"/>
      <c r="I1084" s="50"/>
    </row>
    <row r="1085" spans="4:9">
      <c r="D1085" s="49">
        <v>44407</v>
      </c>
      <c r="E1085" s="50">
        <v>168.19</v>
      </c>
      <c r="F1085" s="50"/>
      <c r="G1085" s="50"/>
      <c r="H1085" s="50"/>
      <c r="I1085" s="50"/>
    </row>
    <row r="1086" spans="4:9">
      <c r="D1086" s="49">
        <v>44406</v>
      </c>
      <c r="E1086" s="50">
        <v>167.9</v>
      </c>
      <c r="F1086" s="50"/>
      <c r="G1086" s="50"/>
      <c r="H1086" s="50"/>
      <c r="I1086" s="50"/>
    </row>
    <row r="1087" spans="4:9">
      <c r="D1087" s="49">
        <v>44405</v>
      </c>
      <c r="E1087" s="50">
        <v>167.9</v>
      </c>
      <c r="F1087" s="50"/>
      <c r="G1087" s="50"/>
      <c r="H1087" s="50"/>
      <c r="I1087" s="50"/>
    </row>
    <row r="1088" spans="4:9">
      <c r="D1088" s="49">
        <v>44404</v>
      </c>
      <c r="E1088" s="50">
        <v>167.36</v>
      </c>
      <c r="F1088" s="50"/>
      <c r="G1088" s="50"/>
      <c r="H1088" s="50"/>
      <c r="I1088" s="50"/>
    </row>
    <row r="1089" spans="4:9">
      <c r="D1089" s="49">
        <v>44403</v>
      </c>
      <c r="E1089" s="50">
        <v>166.81</v>
      </c>
      <c r="F1089" s="50"/>
      <c r="G1089" s="50"/>
      <c r="H1089" s="50"/>
      <c r="I1089" s="50"/>
    </row>
    <row r="1090" spans="4:9">
      <c r="D1090" s="49">
        <v>44402</v>
      </c>
      <c r="E1090" s="50">
        <v>166.48</v>
      </c>
      <c r="F1090" s="50"/>
      <c r="G1090" s="50"/>
      <c r="H1090" s="50"/>
      <c r="I1090" s="50"/>
    </row>
    <row r="1091" spans="4:9">
      <c r="D1091" s="49">
        <v>44401</v>
      </c>
      <c r="E1091" s="50">
        <v>166.48</v>
      </c>
      <c r="F1091" s="50"/>
      <c r="G1091" s="50"/>
      <c r="H1091" s="50"/>
      <c r="I1091" s="50"/>
    </row>
    <row r="1092" spans="4:9">
      <c r="D1092" s="49">
        <v>44400</v>
      </c>
      <c r="E1092" s="50">
        <v>166.48</v>
      </c>
      <c r="F1092" s="50"/>
      <c r="G1092" s="50"/>
      <c r="H1092" s="50"/>
      <c r="I1092" s="50"/>
    </row>
    <row r="1093" spans="4:9">
      <c r="D1093" s="49">
        <v>44399</v>
      </c>
      <c r="E1093" s="50">
        <v>166.39</v>
      </c>
      <c r="F1093" s="50"/>
      <c r="G1093" s="50"/>
      <c r="H1093" s="50"/>
      <c r="I1093" s="50"/>
    </row>
    <row r="1094" spans="4:9">
      <c r="D1094" s="49">
        <v>44398</v>
      </c>
      <c r="E1094" s="50">
        <v>166.3</v>
      </c>
      <c r="F1094" s="50"/>
      <c r="G1094" s="50"/>
      <c r="H1094" s="50"/>
      <c r="I1094" s="50"/>
    </row>
    <row r="1095" spans="4:9">
      <c r="D1095" s="49">
        <v>44397</v>
      </c>
      <c r="E1095" s="50">
        <v>166.07</v>
      </c>
      <c r="F1095" s="50"/>
      <c r="G1095" s="50"/>
      <c r="H1095" s="50"/>
      <c r="I1095" s="50"/>
    </row>
    <row r="1096" spans="4:9">
      <c r="D1096" s="49">
        <v>44396</v>
      </c>
      <c r="E1096" s="50">
        <v>165.79</v>
      </c>
      <c r="F1096" s="50"/>
      <c r="G1096" s="50"/>
      <c r="H1096" s="50"/>
      <c r="I1096" s="50"/>
    </row>
    <row r="1097" spans="4:9">
      <c r="D1097" s="49">
        <v>44395</v>
      </c>
      <c r="E1097" s="50">
        <v>165.5</v>
      </c>
      <c r="F1097" s="50"/>
      <c r="G1097" s="50"/>
      <c r="H1097" s="50"/>
      <c r="I1097" s="50"/>
    </row>
    <row r="1098" spans="4:9">
      <c r="D1098" s="49">
        <v>44394</v>
      </c>
      <c r="E1098" s="50">
        <v>165.5</v>
      </c>
      <c r="F1098" s="50"/>
      <c r="G1098" s="50"/>
      <c r="H1098" s="50"/>
      <c r="I1098" s="50"/>
    </row>
    <row r="1099" spans="4:9">
      <c r="D1099" s="49">
        <v>44393</v>
      </c>
      <c r="E1099" s="50">
        <v>165.5</v>
      </c>
      <c r="F1099" s="50"/>
      <c r="G1099" s="50"/>
      <c r="H1099" s="50"/>
      <c r="I1099" s="50"/>
    </row>
    <row r="1100" spans="4:9">
      <c r="D1100" s="49">
        <v>44392</v>
      </c>
      <c r="E1100" s="50">
        <v>165.26</v>
      </c>
      <c r="F1100" s="50"/>
      <c r="G1100" s="50"/>
      <c r="H1100" s="50"/>
      <c r="I1100" s="50"/>
    </row>
    <row r="1101" spans="4:9">
      <c r="D1101" s="49">
        <v>44391</v>
      </c>
      <c r="E1101" s="50">
        <v>165.29</v>
      </c>
      <c r="F1101" s="50"/>
      <c r="G1101" s="50"/>
      <c r="H1101" s="50"/>
      <c r="I1101" s="50"/>
    </row>
    <row r="1102" spans="4:9">
      <c r="D1102" s="49">
        <v>44390</v>
      </c>
      <c r="E1102" s="50">
        <v>165.38</v>
      </c>
      <c r="F1102" s="50"/>
      <c r="G1102" s="50"/>
      <c r="H1102" s="50"/>
      <c r="I1102" s="50"/>
    </row>
    <row r="1103" spans="4:9">
      <c r="D1103" s="49">
        <v>44389</v>
      </c>
      <c r="E1103" s="50">
        <v>166.05</v>
      </c>
      <c r="F1103" s="50"/>
      <c r="G1103" s="50"/>
      <c r="H1103" s="50"/>
      <c r="I1103" s="50"/>
    </row>
    <row r="1104" spans="4:9">
      <c r="D1104" s="49">
        <v>44388</v>
      </c>
      <c r="E1104" s="50">
        <v>166.42</v>
      </c>
      <c r="F1104" s="50"/>
      <c r="G1104" s="50"/>
      <c r="H1104" s="50"/>
      <c r="I1104" s="50"/>
    </row>
    <row r="1105" spans="4:9">
      <c r="D1105" s="49">
        <v>44387</v>
      </c>
      <c r="E1105" s="50">
        <v>166.42</v>
      </c>
      <c r="F1105" s="50"/>
      <c r="G1105" s="50"/>
      <c r="H1105" s="50"/>
      <c r="I1105" s="50"/>
    </row>
    <row r="1106" spans="4:9">
      <c r="D1106" s="49">
        <v>44386</v>
      </c>
      <c r="E1106" s="50">
        <v>166.42</v>
      </c>
      <c r="F1106" s="50"/>
      <c r="G1106" s="50"/>
      <c r="H1106" s="50"/>
      <c r="I1106" s="50"/>
    </row>
    <row r="1107" spans="4:9">
      <c r="D1107" s="49">
        <v>44385</v>
      </c>
      <c r="E1107" s="50">
        <v>166.42</v>
      </c>
      <c r="F1107" s="50"/>
      <c r="G1107" s="50"/>
      <c r="H1107" s="50"/>
      <c r="I1107" s="50"/>
    </row>
    <row r="1108" spans="4:9">
      <c r="D1108" s="49">
        <v>44384</v>
      </c>
      <c r="E1108" s="50">
        <v>166.2</v>
      </c>
      <c r="F1108" s="50"/>
      <c r="G1108" s="50"/>
      <c r="H1108" s="50"/>
      <c r="I1108" s="50"/>
    </row>
    <row r="1109" spans="4:9">
      <c r="D1109" s="49">
        <v>44383</v>
      </c>
      <c r="E1109" s="50">
        <v>165.98</v>
      </c>
      <c r="F1109" s="50"/>
      <c r="G1109" s="50"/>
      <c r="H1109" s="50"/>
      <c r="I1109" s="50"/>
    </row>
    <row r="1110" spans="4:9">
      <c r="D1110" s="49">
        <v>44382</v>
      </c>
      <c r="E1110" s="50">
        <v>166.45</v>
      </c>
      <c r="F1110" s="50"/>
      <c r="G1110" s="50"/>
      <c r="H1110" s="50"/>
      <c r="I1110" s="50"/>
    </row>
    <row r="1111" spans="4:9">
      <c r="D1111" s="49">
        <v>44381</v>
      </c>
      <c r="E1111" s="50">
        <v>166.35</v>
      </c>
      <c r="F1111" s="50"/>
      <c r="G1111" s="50"/>
      <c r="H1111" s="50"/>
      <c r="I1111" s="50"/>
    </row>
    <row r="1112" spans="4:9">
      <c r="D1112" s="49">
        <v>44380</v>
      </c>
      <c r="E1112" s="50">
        <v>166.35</v>
      </c>
      <c r="F1112" s="50"/>
      <c r="G1112" s="50"/>
      <c r="H1112" s="50"/>
      <c r="I1112" s="50"/>
    </row>
    <row r="1113" spans="4:9">
      <c r="D1113" s="49">
        <v>44379</v>
      </c>
      <c r="E1113" s="50">
        <v>166.35</v>
      </c>
      <c r="F1113" s="50"/>
      <c r="G1113" s="50"/>
      <c r="H1113" s="50"/>
      <c r="I1113" s="50"/>
    </row>
    <row r="1114" spans="4:9">
      <c r="D1114" s="49">
        <v>44378</v>
      </c>
      <c r="E1114" s="50">
        <v>165.77</v>
      </c>
      <c r="F1114" s="50"/>
      <c r="G1114" s="50"/>
      <c r="H1114" s="50"/>
      <c r="I1114" s="50"/>
    </row>
    <row r="1115" spans="4:9">
      <c r="D1115" s="49">
        <v>44377</v>
      </c>
      <c r="E1115" s="50">
        <v>163.57</v>
      </c>
      <c r="F1115" s="50"/>
      <c r="G1115" s="50"/>
      <c r="H1115" s="50"/>
      <c r="I1115" s="50"/>
    </row>
    <row r="1116" spans="4:9">
      <c r="D1116" s="49">
        <v>44376</v>
      </c>
      <c r="E1116" s="50">
        <v>163.75</v>
      </c>
      <c r="F1116" s="50"/>
      <c r="G1116" s="50"/>
      <c r="H1116" s="50"/>
      <c r="I1116" s="50"/>
    </row>
    <row r="1117" spans="4:9">
      <c r="D1117" s="49">
        <v>44375</v>
      </c>
      <c r="E1117" s="50">
        <v>162.78</v>
      </c>
      <c r="F1117" s="50"/>
      <c r="G1117" s="50"/>
      <c r="H1117" s="50"/>
      <c r="I1117" s="50"/>
    </row>
    <row r="1118" spans="4:9">
      <c r="D1118" s="49">
        <v>44374</v>
      </c>
      <c r="E1118" s="50">
        <v>163.53</v>
      </c>
      <c r="F1118" s="50"/>
      <c r="G1118" s="50"/>
      <c r="H1118" s="50"/>
      <c r="I1118" s="50"/>
    </row>
    <row r="1119" spans="4:9">
      <c r="D1119" s="49">
        <v>44373</v>
      </c>
      <c r="E1119" s="50">
        <v>163.53</v>
      </c>
      <c r="F1119" s="50"/>
      <c r="G1119" s="50"/>
      <c r="H1119" s="50"/>
      <c r="I1119" s="50"/>
    </row>
    <row r="1120" spans="4:9">
      <c r="D1120" s="49">
        <v>44372</v>
      </c>
      <c r="E1120" s="50">
        <v>163.53</v>
      </c>
      <c r="F1120" s="50"/>
      <c r="G1120" s="50"/>
      <c r="H1120" s="50"/>
      <c r="I1120" s="50"/>
    </row>
    <row r="1121" spans="4:9">
      <c r="D1121" s="49">
        <v>44371</v>
      </c>
      <c r="E1121" s="50">
        <v>162.03</v>
      </c>
      <c r="F1121" s="50"/>
      <c r="G1121" s="50"/>
      <c r="H1121" s="50"/>
      <c r="I1121" s="50"/>
    </row>
    <row r="1122" spans="4:9">
      <c r="D1122" s="49">
        <v>44370</v>
      </c>
      <c r="E1122" s="50">
        <v>160.91999999999999</v>
      </c>
      <c r="F1122" s="50"/>
      <c r="G1122" s="50"/>
      <c r="H1122" s="50"/>
      <c r="I1122" s="50"/>
    </row>
    <row r="1123" spans="4:9">
      <c r="D1123" s="49">
        <v>44369</v>
      </c>
      <c r="E1123" s="50">
        <v>160.63</v>
      </c>
      <c r="F1123" s="50"/>
      <c r="G1123" s="50"/>
      <c r="H1123" s="50"/>
      <c r="I1123" s="50"/>
    </row>
    <row r="1124" spans="4:9">
      <c r="D1124" s="49">
        <v>44368</v>
      </c>
      <c r="E1124" s="50">
        <v>159.84</v>
      </c>
      <c r="F1124" s="50"/>
      <c r="G1124" s="50"/>
      <c r="H1124" s="50"/>
      <c r="I1124" s="50"/>
    </row>
    <row r="1125" spans="4:9">
      <c r="D1125" s="49">
        <v>44367</v>
      </c>
      <c r="E1125" s="50">
        <v>159.84</v>
      </c>
      <c r="F1125" s="50"/>
      <c r="G1125" s="50"/>
      <c r="H1125" s="50"/>
      <c r="I1125" s="50"/>
    </row>
    <row r="1126" spans="4:9">
      <c r="D1126" s="49">
        <v>44366</v>
      </c>
      <c r="E1126" s="50">
        <v>159.84</v>
      </c>
      <c r="F1126" s="50"/>
      <c r="G1126" s="50"/>
      <c r="H1126" s="50"/>
      <c r="I1126" s="50"/>
    </row>
    <row r="1127" spans="4:9">
      <c r="D1127" s="49">
        <v>44365</v>
      </c>
      <c r="E1127" s="50">
        <v>159.84</v>
      </c>
      <c r="F1127" s="50"/>
      <c r="G1127" s="50"/>
      <c r="H1127" s="50"/>
      <c r="I1127" s="50"/>
    </row>
    <row r="1128" spans="4:9">
      <c r="D1128" s="49">
        <v>44364</v>
      </c>
      <c r="E1128" s="50">
        <v>160.41</v>
      </c>
      <c r="F1128" s="50"/>
      <c r="G1128" s="50"/>
      <c r="H1128" s="50"/>
      <c r="I1128" s="50"/>
    </row>
    <row r="1129" spans="4:9">
      <c r="D1129" s="49">
        <v>44363</v>
      </c>
      <c r="E1129" s="50">
        <v>159.19</v>
      </c>
      <c r="F1129" s="50"/>
      <c r="G1129" s="50"/>
      <c r="H1129" s="50"/>
      <c r="I1129" s="50"/>
    </row>
    <row r="1130" spans="4:9">
      <c r="D1130" s="49">
        <v>44362</v>
      </c>
      <c r="E1130" s="50">
        <v>158.72</v>
      </c>
      <c r="F1130" s="50"/>
      <c r="G1130" s="50"/>
      <c r="H1130" s="50"/>
      <c r="I1130" s="50"/>
    </row>
    <row r="1131" spans="4:9">
      <c r="D1131" s="49">
        <v>44361</v>
      </c>
      <c r="E1131" s="50">
        <v>157.94999999999999</v>
      </c>
      <c r="F1131" s="50"/>
      <c r="G1131" s="50"/>
      <c r="H1131" s="50"/>
      <c r="I1131" s="50"/>
    </row>
    <row r="1132" spans="4:9">
      <c r="D1132" s="49">
        <v>44360</v>
      </c>
      <c r="E1132" s="50">
        <v>158.09</v>
      </c>
      <c r="F1132" s="50"/>
      <c r="G1132" s="50"/>
      <c r="H1132" s="50"/>
      <c r="I1132" s="50"/>
    </row>
    <row r="1133" spans="4:9">
      <c r="D1133" s="49">
        <v>44359</v>
      </c>
      <c r="E1133" s="50">
        <v>158.09</v>
      </c>
      <c r="F1133" s="50"/>
      <c r="G1133" s="50"/>
      <c r="H1133" s="50"/>
      <c r="I1133" s="50"/>
    </row>
    <row r="1134" spans="4:9">
      <c r="D1134" s="49">
        <v>44358</v>
      </c>
      <c r="E1134" s="50">
        <v>158.09</v>
      </c>
      <c r="F1134" s="50"/>
      <c r="G1134" s="50"/>
      <c r="H1134" s="50"/>
      <c r="I1134" s="50"/>
    </row>
    <row r="1135" spans="4:9">
      <c r="D1135" s="49">
        <v>44357</v>
      </c>
      <c r="E1135" s="50">
        <v>159.07</v>
      </c>
      <c r="F1135" s="50"/>
      <c r="G1135" s="50"/>
      <c r="H1135" s="50"/>
      <c r="I1135" s="50"/>
    </row>
    <row r="1136" spans="4:9">
      <c r="D1136" s="49">
        <v>44356</v>
      </c>
      <c r="E1136" s="50">
        <v>159.68</v>
      </c>
      <c r="F1136" s="50"/>
      <c r="G1136" s="50"/>
      <c r="H1136" s="50"/>
      <c r="I1136" s="50"/>
    </row>
    <row r="1137" spans="4:9">
      <c r="D1137" s="49">
        <v>44355</v>
      </c>
      <c r="E1137" s="50">
        <v>160.47999999999999</v>
      </c>
      <c r="F1137" s="50"/>
      <c r="G1137" s="50"/>
      <c r="H1137" s="50"/>
      <c r="I1137" s="50"/>
    </row>
    <row r="1138" spans="4:9">
      <c r="D1138" s="49">
        <v>44354</v>
      </c>
      <c r="E1138" s="50">
        <v>160.55000000000001</v>
      </c>
      <c r="F1138" s="50"/>
      <c r="G1138" s="50"/>
      <c r="H1138" s="50"/>
      <c r="I1138" s="50"/>
    </row>
    <row r="1139" spans="4:9">
      <c r="D1139" s="49">
        <v>44353</v>
      </c>
      <c r="E1139" s="50">
        <v>160.86000000000001</v>
      </c>
      <c r="F1139" s="50"/>
      <c r="G1139" s="50"/>
      <c r="H1139" s="50"/>
      <c r="I1139" s="50"/>
    </row>
    <row r="1140" spans="4:9">
      <c r="D1140" s="49">
        <v>44352</v>
      </c>
      <c r="E1140" s="50">
        <v>160.86000000000001</v>
      </c>
      <c r="F1140" s="50"/>
      <c r="G1140" s="50"/>
      <c r="H1140" s="50"/>
      <c r="I1140" s="50"/>
    </row>
    <row r="1141" spans="4:9">
      <c r="D1141" s="49">
        <v>44351</v>
      </c>
      <c r="E1141" s="50">
        <v>160.86000000000001</v>
      </c>
      <c r="F1141" s="50"/>
      <c r="G1141" s="50"/>
      <c r="H1141" s="50"/>
      <c r="I1141" s="50"/>
    </row>
    <row r="1142" spans="4:9">
      <c r="D1142" s="49">
        <v>44350</v>
      </c>
      <c r="E1142" s="50">
        <v>161.33000000000001</v>
      </c>
      <c r="F1142" s="50"/>
      <c r="G1142" s="50"/>
      <c r="H1142" s="50"/>
      <c r="I1142" s="50"/>
    </row>
    <row r="1143" spans="4:9">
      <c r="D1143" s="49">
        <v>44349</v>
      </c>
      <c r="E1143" s="50">
        <v>161.71</v>
      </c>
      <c r="F1143" s="50"/>
      <c r="G1143" s="50"/>
      <c r="H1143" s="50"/>
      <c r="I1143" s="50"/>
    </row>
    <row r="1144" spans="4:9">
      <c r="D1144" s="49">
        <v>44348</v>
      </c>
      <c r="E1144" s="50">
        <v>160.96</v>
      </c>
      <c r="F1144" s="50"/>
      <c r="G1144" s="50"/>
      <c r="H1144" s="50"/>
      <c r="I1144" s="50"/>
    </row>
    <row r="1145" spans="4:9">
      <c r="D1145" s="49">
        <v>44347</v>
      </c>
      <c r="E1145" s="50">
        <v>160.22999999999999</v>
      </c>
      <c r="F1145" s="50"/>
      <c r="G1145" s="50"/>
      <c r="H1145" s="50"/>
      <c r="I1145" s="50"/>
    </row>
    <row r="1146" spans="4:9">
      <c r="D1146" s="49">
        <v>44346</v>
      </c>
      <c r="E1146" s="50">
        <v>159.49</v>
      </c>
      <c r="F1146" s="50"/>
      <c r="G1146" s="50"/>
      <c r="H1146" s="50"/>
      <c r="I1146" s="50"/>
    </row>
    <row r="1147" spans="4:9">
      <c r="D1147" s="49">
        <v>44345</v>
      </c>
      <c r="E1147" s="50">
        <v>159.49</v>
      </c>
      <c r="F1147" s="50"/>
      <c r="G1147" s="50"/>
      <c r="H1147" s="50"/>
      <c r="I1147" s="50"/>
    </row>
    <row r="1148" spans="4:9">
      <c r="D1148" s="49">
        <v>44344</v>
      </c>
      <c r="E1148" s="50">
        <v>159.49</v>
      </c>
      <c r="F1148" s="50"/>
      <c r="G1148" s="50"/>
      <c r="H1148" s="50"/>
      <c r="I1148" s="50"/>
    </row>
    <row r="1149" spans="4:9">
      <c r="D1149" s="49">
        <v>44343</v>
      </c>
      <c r="E1149" s="50">
        <v>158.72</v>
      </c>
      <c r="F1149" s="50"/>
      <c r="G1149" s="50"/>
      <c r="H1149" s="50"/>
      <c r="I1149" s="50"/>
    </row>
    <row r="1150" spans="4:9">
      <c r="D1150" s="49">
        <v>44342</v>
      </c>
      <c r="E1150" s="50">
        <v>158.05000000000001</v>
      </c>
      <c r="F1150" s="50"/>
      <c r="G1150" s="50"/>
      <c r="H1150" s="50"/>
      <c r="I1150" s="50"/>
    </row>
    <row r="1151" spans="4:9">
      <c r="D1151" s="49">
        <v>44341</v>
      </c>
      <c r="E1151" s="50">
        <v>158.37</v>
      </c>
      <c r="F1151" s="50"/>
      <c r="G1151" s="50"/>
      <c r="H1151" s="50"/>
      <c r="I1151" s="50"/>
    </row>
    <row r="1152" spans="4:9">
      <c r="D1152" s="49">
        <v>44340</v>
      </c>
      <c r="E1152" s="50">
        <v>158.37</v>
      </c>
      <c r="F1152" s="50"/>
      <c r="G1152" s="50"/>
      <c r="H1152" s="50"/>
      <c r="I1152" s="50"/>
    </row>
    <row r="1153" spans="4:9">
      <c r="D1153" s="49">
        <v>44339</v>
      </c>
      <c r="E1153" s="50">
        <v>158.37</v>
      </c>
      <c r="F1153" s="50"/>
      <c r="G1153" s="50"/>
      <c r="H1153" s="50"/>
      <c r="I1153" s="50"/>
    </row>
    <row r="1154" spans="4:9">
      <c r="D1154" s="49">
        <v>44338</v>
      </c>
      <c r="E1154" s="50">
        <v>158.37</v>
      </c>
      <c r="F1154" s="50"/>
      <c r="G1154" s="50"/>
      <c r="H1154" s="50"/>
      <c r="I1154" s="50"/>
    </row>
    <row r="1155" spans="4:9">
      <c r="D1155" s="49">
        <v>44337</v>
      </c>
      <c r="E1155" s="50">
        <v>158.37</v>
      </c>
      <c r="F1155" s="50"/>
      <c r="G1155" s="50"/>
      <c r="H1155" s="50"/>
      <c r="I1155" s="50"/>
    </row>
    <row r="1156" spans="4:9">
      <c r="D1156" s="49">
        <v>44336</v>
      </c>
      <c r="E1156" s="50">
        <v>157.22</v>
      </c>
      <c r="F1156" s="50"/>
      <c r="G1156" s="50"/>
      <c r="H1156" s="50"/>
      <c r="I1156" s="50"/>
    </row>
    <row r="1157" spans="4:9">
      <c r="D1157" s="49">
        <v>44335</v>
      </c>
      <c r="E1157" s="50">
        <v>156.49</v>
      </c>
      <c r="F1157" s="50"/>
      <c r="G1157" s="50"/>
      <c r="H1157" s="50"/>
      <c r="I1157" s="50"/>
    </row>
    <row r="1158" spans="4:9">
      <c r="D1158" s="49">
        <v>44334</v>
      </c>
      <c r="E1158" s="50">
        <v>154.65</v>
      </c>
      <c r="F1158" s="50"/>
      <c r="G1158" s="50"/>
      <c r="H1158" s="50"/>
      <c r="I1158" s="50"/>
    </row>
    <row r="1159" spans="4:9">
      <c r="D1159" s="49">
        <v>44333</v>
      </c>
      <c r="E1159" s="50">
        <v>154.65</v>
      </c>
      <c r="F1159" s="50"/>
      <c r="G1159" s="50"/>
      <c r="H1159" s="50"/>
      <c r="I1159" s="50"/>
    </row>
    <row r="1160" spans="4:9">
      <c r="D1160" s="49">
        <v>44332</v>
      </c>
      <c r="E1160" s="50">
        <v>154.16999999999999</v>
      </c>
      <c r="F1160" s="50"/>
      <c r="G1160" s="50"/>
      <c r="H1160" s="50"/>
      <c r="I1160" s="50"/>
    </row>
    <row r="1161" spans="4:9">
      <c r="D1161" s="49">
        <v>44331</v>
      </c>
      <c r="E1161" s="50">
        <v>154.16999999999999</v>
      </c>
      <c r="F1161" s="50"/>
      <c r="G1161" s="50"/>
      <c r="H1161" s="50"/>
      <c r="I1161" s="50"/>
    </row>
    <row r="1162" spans="4:9">
      <c r="D1162" s="49">
        <v>44330</v>
      </c>
      <c r="E1162" s="50">
        <v>154.16999999999999</v>
      </c>
      <c r="F1162" s="50"/>
      <c r="G1162" s="50"/>
      <c r="H1162" s="50"/>
      <c r="I1162" s="50"/>
    </row>
    <row r="1163" spans="4:9">
      <c r="D1163" s="49">
        <v>44329</v>
      </c>
      <c r="E1163" s="50">
        <v>153.71</v>
      </c>
      <c r="F1163" s="50"/>
      <c r="G1163" s="50"/>
      <c r="H1163" s="50"/>
      <c r="I1163" s="50"/>
    </row>
    <row r="1164" spans="4:9">
      <c r="D1164" s="49">
        <v>44328</v>
      </c>
      <c r="E1164" s="50">
        <v>153.21</v>
      </c>
      <c r="F1164" s="50"/>
      <c r="G1164" s="50"/>
      <c r="H1164" s="50"/>
      <c r="I1164" s="50"/>
    </row>
    <row r="1165" spans="4:9">
      <c r="D1165" s="49">
        <v>44327</v>
      </c>
      <c r="E1165" s="50">
        <v>153.16</v>
      </c>
      <c r="F1165" s="50"/>
      <c r="G1165" s="50"/>
      <c r="H1165" s="50"/>
      <c r="I1165" s="50"/>
    </row>
    <row r="1166" spans="4:9">
      <c r="D1166" s="49">
        <v>44326</v>
      </c>
      <c r="E1166" s="50">
        <v>153.94999999999999</v>
      </c>
      <c r="F1166" s="50"/>
      <c r="G1166" s="50"/>
      <c r="H1166" s="50"/>
      <c r="I1166" s="50"/>
    </row>
    <row r="1167" spans="4:9">
      <c r="D1167" s="49">
        <v>44325</v>
      </c>
      <c r="E1167" s="50">
        <v>154.4</v>
      </c>
      <c r="F1167" s="50"/>
      <c r="G1167" s="50"/>
      <c r="H1167" s="50"/>
      <c r="I1167" s="50"/>
    </row>
    <row r="1168" spans="4:9">
      <c r="D1168" s="49">
        <v>44324</v>
      </c>
      <c r="E1168" s="50">
        <v>154.4</v>
      </c>
      <c r="F1168" s="50"/>
      <c r="G1168" s="50"/>
      <c r="H1168" s="50"/>
      <c r="I1168" s="50"/>
    </row>
    <row r="1169" spans="4:9">
      <c r="D1169" s="49">
        <v>44323</v>
      </c>
      <c r="E1169" s="50">
        <v>154.4</v>
      </c>
      <c r="F1169" s="50"/>
      <c r="G1169" s="50"/>
      <c r="H1169" s="50"/>
      <c r="I1169" s="50"/>
    </row>
    <row r="1170" spans="4:9">
      <c r="D1170" s="49">
        <v>44322</v>
      </c>
      <c r="E1170" s="50">
        <v>154.30000000000001</v>
      </c>
      <c r="F1170" s="50"/>
      <c r="G1170" s="50"/>
      <c r="H1170" s="50"/>
      <c r="I1170" s="50"/>
    </row>
    <row r="1171" spans="4:9">
      <c r="D1171" s="49">
        <v>44321</v>
      </c>
      <c r="E1171" s="50">
        <v>153.82</v>
      </c>
      <c r="F1171" s="50"/>
      <c r="G1171" s="50"/>
      <c r="H1171" s="50"/>
      <c r="I1171" s="50"/>
    </row>
    <row r="1172" spans="4:9">
      <c r="D1172" s="49">
        <v>44320</v>
      </c>
      <c r="E1172" s="50">
        <v>153.33000000000001</v>
      </c>
      <c r="F1172" s="50"/>
      <c r="G1172" s="50"/>
      <c r="H1172" s="50"/>
      <c r="I1172" s="50"/>
    </row>
    <row r="1173" spans="4:9">
      <c r="D1173" s="49">
        <v>44319</v>
      </c>
      <c r="E1173" s="50">
        <v>152.96</v>
      </c>
      <c r="F1173" s="50"/>
      <c r="G1173" s="50"/>
      <c r="H1173" s="50"/>
      <c r="I1173" s="50"/>
    </row>
    <row r="1174" spans="4:9">
      <c r="D1174" s="49">
        <v>44318</v>
      </c>
      <c r="E1174" s="50">
        <v>152.19</v>
      </c>
      <c r="F1174" s="50"/>
      <c r="G1174" s="50"/>
      <c r="H1174" s="50"/>
      <c r="I1174" s="50"/>
    </row>
    <row r="1175" spans="4:9">
      <c r="D1175" s="49">
        <v>44317</v>
      </c>
      <c r="E1175" s="50">
        <v>152.19</v>
      </c>
      <c r="F1175" s="50"/>
      <c r="G1175" s="50"/>
      <c r="H1175" s="50"/>
      <c r="I1175" s="50"/>
    </row>
    <row r="1176" spans="4:9">
      <c r="D1176" s="49">
        <v>44316</v>
      </c>
      <c r="E1176" s="50">
        <v>152.19</v>
      </c>
      <c r="F1176" s="50"/>
      <c r="G1176" s="50"/>
      <c r="H1176" s="50"/>
      <c r="I1176" s="50"/>
    </row>
    <row r="1177" spans="4:9">
      <c r="D1177" s="49">
        <v>44315</v>
      </c>
      <c r="E1177" s="50">
        <v>152.19999999999999</v>
      </c>
      <c r="F1177" s="50"/>
      <c r="G1177" s="50"/>
      <c r="H1177" s="50"/>
      <c r="I1177" s="50"/>
    </row>
    <row r="1178" spans="4:9">
      <c r="D1178" s="49">
        <v>44314</v>
      </c>
      <c r="E1178" s="50">
        <v>151.80000000000001</v>
      </c>
      <c r="F1178" s="50"/>
      <c r="G1178" s="50"/>
      <c r="H1178" s="50"/>
      <c r="I1178" s="50"/>
    </row>
    <row r="1179" spans="4:9">
      <c r="D1179" s="49">
        <v>44313</v>
      </c>
      <c r="E1179" s="50">
        <v>151.49</v>
      </c>
      <c r="F1179" s="50"/>
      <c r="G1179" s="50"/>
      <c r="H1179" s="50"/>
      <c r="I1179" s="50"/>
    </row>
    <row r="1180" spans="4:9">
      <c r="D1180" s="49">
        <v>44312</v>
      </c>
      <c r="E1180" s="50">
        <v>150.27000000000001</v>
      </c>
      <c r="F1180" s="50"/>
      <c r="G1180" s="50"/>
      <c r="H1180" s="50"/>
      <c r="I1180" s="50"/>
    </row>
    <row r="1181" spans="4:9">
      <c r="D1181" s="49">
        <v>44311</v>
      </c>
      <c r="E1181" s="50">
        <v>148.36000000000001</v>
      </c>
      <c r="F1181" s="50"/>
      <c r="G1181" s="50"/>
      <c r="H1181" s="50"/>
      <c r="I1181" s="50"/>
    </row>
    <row r="1182" spans="4:9">
      <c r="D1182" s="49">
        <v>44310</v>
      </c>
      <c r="E1182" s="50">
        <v>148.36000000000001</v>
      </c>
      <c r="F1182" s="50"/>
      <c r="G1182" s="50"/>
      <c r="H1182" s="50"/>
      <c r="I1182" s="50"/>
    </row>
    <row r="1183" spans="4:9">
      <c r="D1183" s="49">
        <v>44309</v>
      </c>
      <c r="E1183" s="50">
        <v>148.36000000000001</v>
      </c>
      <c r="F1183" s="50"/>
      <c r="G1183" s="50"/>
      <c r="H1183" s="50"/>
      <c r="I1183" s="50"/>
    </row>
    <row r="1184" spans="4:9">
      <c r="D1184" s="49">
        <v>44308</v>
      </c>
      <c r="E1184" s="50">
        <v>145.5</v>
      </c>
      <c r="F1184" s="50"/>
      <c r="G1184" s="50"/>
      <c r="H1184" s="50"/>
      <c r="I1184" s="50"/>
    </row>
    <row r="1185" spans="4:9">
      <c r="D1185" s="49">
        <v>44307</v>
      </c>
      <c r="E1185" s="50">
        <v>145.44</v>
      </c>
      <c r="F1185" s="50"/>
      <c r="G1185" s="50"/>
      <c r="H1185" s="50"/>
      <c r="I1185" s="50"/>
    </row>
    <row r="1186" spans="4:9">
      <c r="D1186" s="49">
        <v>44306</v>
      </c>
      <c r="E1186" s="50">
        <v>145.94</v>
      </c>
      <c r="F1186" s="50"/>
      <c r="G1186" s="50"/>
      <c r="H1186" s="50"/>
      <c r="I1186" s="50"/>
    </row>
    <row r="1187" spans="4:9">
      <c r="D1187" s="49">
        <v>44305</v>
      </c>
      <c r="E1187" s="50">
        <v>144.37</v>
      </c>
      <c r="F1187" s="50"/>
      <c r="G1187" s="50"/>
      <c r="H1187" s="50"/>
      <c r="I1187" s="50"/>
    </row>
    <row r="1188" spans="4:9">
      <c r="D1188" s="49">
        <v>44304</v>
      </c>
      <c r="E1188" s="50">
        <v>143.71</v>
      </c>
      <c r="F1188" s="50"/>
      <c r="G1188" s="50"/>
      <c r="H1188" s="50"/>
      <c r="I1188" s="50"/>
    </row>
    <row r="1189" spans="4:9">
      <c r="D1189" s="49">
        <v>44303</v>
      </c>
      <c r="E1189" s="50">
        <v>143.71</v>
      </c>
      <c r="F1189" s="50"/>
      <c r="G1189" s="50"/>
      <c r="H1189" s="50"/>
      <c r="I1189" s="50"/>
    </row>
    <row r="1190" spans="4:9">
      <c r="D1190" s="49">
        <v>44302</v>
      </c>
      <c r="E1190" s="50">
        <v>143.71</v>
      </c>
      <c r="F1190" s="50"/>
      <c r="G1190" s="50"/>
      <c r="H1190" s="50"/>
      <c r="I1190" s="50"/>
    </row>
    <row r="1191" spans="4:9">
      <c r="D1191" s="49">
        <v>44301</v>
      </c>
      <c r="E1191" s="50">
        <v>143.65</v>
      </c>
      <c r="F1191" s="50"/>
      <c r="G1191" s="50"/>
      <c r="H1191" s="50"/>
      <c r="I1191" s="50"/>
    </row>
    <row r="1192" spans="4:9">
      <c r="D1192" s="49">
        <v>44300</v>
      </c>
      <c r="E1192" s="50">
        <v>143.80000000000001</v>
      </c>
      <c r="F1192" s="50"/>
      <c r="G1192" s="50"/>
      <c r="H1192" s="50"/>
      <c r="I1192" s="50"/>
    </row>
    <row r="1193" spans="4:9">
      <c r="D1193" s="49">
        <v>44299</v>
      </c>
      <c r="E1193" s="50">
        <v>142.79</v>
      </c>
      <c r="F1193" s="50"/>
      <c r="G1193" s="50"/>
      <c r="H1193" s="50"/>
      <c r="I1193" s="50"/>
    </row>
    <row r="1194" spans="4:9">
      <c r="D1194" s="49">
        <v>44298</v>
      </c>
      <c r="E1194" s="50">
        <v>143.26</v>
      </c>
      <c r="F1194" s="50"/>
      <c r="G1194" s="50"/>
      <c r="H1194" s="50"/>
      <c r="I1194" s="50"/>
    </row>
    <row r="1195" spans="4:9">
      <c r="D1195" s="49">
        <v>44297</v>
      </c>
      <c r="E1195" s="50">
        <v>144.38</v>
      </c>
      <c r="F1195" s="50"/>
      <c r="G1195" s="50"/>
      <c r="H1195" s="50"/>
      <c r="I1195" s="50"/>
    </row>
    <row r="1196" spans="4:9">
      <c r="D1196" s="49">
        <v>44296</v>
      </c>
      <c r="E1196" s="50">
        <v>144.38</v>
      </c>
      <c r="F1196" s="50"/>
      <c r="G1196" s="50"/>
      <c r="H1196" s="50"/>
      <c r="I1196" s="50"/>
    </row>
    <row r="1197" spans="4:9">
      <c r="D1197" s="49">
        <v>44295</v>
      </c>
      <c r="E1197" s="50">
        <v>144.38</v>
      </c>
      <c r="F1197" s="50"/>
      <c r="G1197" s="50"/>
      <c r="H1197" s="50"/>
      <c r="I1197" s="50"/>
    </row>
    <row r="1198" spans="4:9">
      <c r="D1198" s="49">
        <v>44294</v>
      </c>
      <c r="E1198" s="50">
        <v>144.66</v>
      </c>
      <c r="F1198" s="50"/>
      <c r="G1198" s="50"/>
      <c r="H1198" s="50"/>
      <c r="I1198" s="50"/>
    </row>
    <row r="1199" spans="4:9">
      <c r="D1199" s="49">
        <v>44293</v>
      </c>
      <c r="E1199" s="50">
        <v>143.77000000000001</v>
      </c>
      <c r="F1199" s="50"/>
      <c r="G1199" s="50"/>
      <c r="H1199" s="50"/>
      <c r="I1199" s="50"/>
    </row>
    <row r="1200" spans="4:9">
      <c r="D1200" s="49">
        <v>44292</v>
      </c>
      <c r="E1200" s="50">
        <v>143.66</v>
      </c>
      <c r="F1200" s="50"/>
      <c r="G1200" s="50"/>
      <c r="H1200" s="50"/>
      <c r="I1200" s="50"/>
    </row>
    <row r="1201" spans="4:9">
      <c r="D1201" s="49">
        <v>44291</v>
      </c>
      <c r="E1201" s="50">
        <v>141.81</v>
      </c>
      <c r="F1201" s="50"/>
      <c r="G1201" s="50"/>
      <c r="H1201" s="50"/>
      <c r="I1201" s="50"/>
    </row>
    <row r="1202" spans="4:9">
      <c r="D1202" s="49">
        <v>44290</v>
      </c>
      <c r="E1202" s="50">
        <v>142.19</v>
      </c>
      <c r="F1202" s="50"/>
      <c r="G1202" s="50"/>
      <c r="H1202" s="50"/>
      <c r="I1202" s="50"/>
    </row>
    <row r="1203" spans="4:9">
      <c r="D1203" s="49">
        <v>44289</v>
      </c>
      <c r="E1203" s="50">
        <v>142.19</v>
      </c>
      <c r="F1203" s="50"/>
      <c r="G1203" s="50"/>
      <c r="H1203" s="50"/>
      <c r="I1203" s="50"/>
    </row>
    <row r="1204" spans="4:9">
      <c r="D1204" s="49">
        <v>44288</v>
      </c>
      <c r="E1204" s="50">
        <v>142.19</v>
      </c>
      <c r="F1204" s="50"/>
      <c r="G1204" s="50"/>
      <c r="H1204" s="50"/>
      <c r="I1204" s="50"/>
    </row>
    <row r="1205" spans="4:9">
      <c r="D1205" s="49">
        <v>44287</v>
      </c>
      <c r="E1205" s="50">
        <v>142.19</v>
      </c>
      <c r="F1205" s="50"/>
      <c r="G1205" s="50"/>
      <c r="H1205" s="50"/>
      <c r="I1205" s="50"/>
    </row>
    <row r="1206" spans="4:9">
      <c r="D1206" s="49">
        <v>44286</v>
      </c>
      <c r="E1206" s="50">
        <v>142.19</v>
      </c>
      <c r="F1206" s="50"/>
      <c r="G1206" s="50"/>
      <c r="H1206" s="50"/>
      <c r="I1206" s="50"/>
    </row>
    <row r="1207" spans="4:9">
      <c r="D1207" s="49">
        <v>44285</v>
      </c>
      <c r="E1207" s="50">
        <v>140.38999999999999</v>
      </c>
      <c r="F1207" s="50"/>
      <c r="G1207" s="50"/>
      <c r="H1207" s="50"/>
      <c r="I1207" s="50"/>
    </row>
    <row r="1208" spans="4:9">
      <c r="D1208" s="49">
        <v>44284</v>
      </c>
      <c r="E1208" s="50">
        <v>138.47999999999999</v>
      </c>
      <c r="F1208" s="50"/>
      <c r="G1208" s="50"/>
      <c r="H1208" s="50"/>
      <c r="I1208" s="50"/>
    </row>
    <row r="1209" spans="4:9">
      <c r="D1209" s="49">
        <v>44283</v>
      </c>
      <c r="E1209" s="50">
        <v>138.44999999999999</v>
      </c>
      <c r="F1209" s="50"/>
      <c r="G1209" s="50"/>
      <c r="H1209" s="50"/>
      <c r="I1209" s="50"/>
    </row>
    <row r="1210" spans="4:9">
      <c r="D1210" s="49">
        <v>44282</v>
      </c>
      <c r="E1210" s="50">
        <v>138.44999999999999</v>
      </c>
      <c r="F1210" s="50"/>
      <c r="G1210" s="50"/>
      <c r="H1210" s="50"/>
      <c r="I1210" s="50"/>
    </row>
    <row r="1211" spans="4:9">
      <c r="D1211" s="49">
        <v>44281</v>
      </c>
      <c r="E1211" s="50">
        <v>138.44999999999999</v>
      </c>
      <c r="F1211" s="50"/>
      <c r="G1211" s="50"/>
      <c r="H1211" s="50"/>
      <c r="I1211" s="50"/>
    </row>
    <row r="1212" spans="4:9">
      <c r="D1212" s="49">
        <v>44280</v>
      </c>
      <c r="E1212" s="50">
        <v>141.19</v>
      </c>
      <c r="F1212" s="50"/>
      <c r="G1212" s="50"/>
      <c r="H1212" s="50"/>
      <c r="I1212" s="50"/>
    </row>
    <row r="1213" spans="4:9">
      <c r="D1213" s="49">
        <v>44279</v>
      </c>
      <c r="E1213" s="50">
        <v>142.78</v>
      </c>
      <c r="F1213" s="50"/>
      <c r="G1213" s="50"/>
      <c r="H1213" s="50"/>
      <c r="I1213" s="50"/>
    </row>
    <row r="1214" spans="4:9">
      <c r="D1214" s="49">
        <v>44278</v>
      </c>
      <c r="E1214" s="50">
        <v>142.78</v>
      </c>
      <c r="F1214" s="50"/>
      <c r="G1214" s="50"/>
      <c r="H1214" s="50"/>
      <c r="I1214" s="50"/>
    </row>
    <row r="1215" spans="4:9">
      <c r="D1215" s="49">
        <v>44277</v>
      </c>
      <c r="E1215" s="50">
        <v>143.15</v>
      </c>
      <c r="F1215" s="50"/>
      <c r="G1215" s="50"/>
      <c r="H1215" s="50"/>
      <c r="I1215" s="50"/>
    </row>
    <row r="1216" spans="4:9">
      <c r="D1216" s="49">
        <v>44276</v>
      </c>
      <c r="E1216" s="50">
        <v>144</v>
      </c>
      <c r="F1216" s="50"/>
      <c r="G1216" s="50"/>
      <c r="H1216" s="50"/>
      <c r="I1216" s="50"/>
    </row>
    <row r="1217" spans="4:9">
      <c r="D1217" s="49">
        <v>44275</v>
      </c>
      <c r="E1217" s="50">
        <v>144</v>
      </c>
      <c r="F1217" s="50"/>
      <c r="G1217" s="50"/>
      <c r="H1217" s="50"/>
      <c r="I1217" s="50"/>
    </row>
    <row r="1218" spans="4:9">
      <c r="D1218" s="49">
        <v>44274</v>
      </c>
      <c r="E1218" s="50">
        <v>144</v>
      </c>
      <c r="F1218" s="50"/>
      <c r="G1218" s="50"/>
      <c r="H1218" s="50"/>
      <c r="I1218" s="50"/>
    </row>
    <row r="1219" spans="4:9">
      <c r="D1219" s="49">
        <v>44273</v>
      </c>
      <c r="E1219" s="50">
        <v>144.71</v>
      </c>
      <c r="F1219" s="50"/>
      <c r="G1219" s="50"/>
      <c r="H1219" s="50"/>
      <c r="I1219" s="50"/>
    </row>
    <row r="1220" spans="4:9">
      <c r="D1220" s="49">
        <v>44272</v>
      </c>
      <c r="E1220" s="50">
        <v>145.28</v>
      </c>
      <c r="F1220" s="50"/>
      <c r="G1220" s="50"/>
      <c r="H1220" s="50"/>
      <c r="I1220" s="50"/>
    </row>
    <row r="1221" spans="4:9">
      <c r="D1221" s="49">
        <v>44271</v>
      </c>
      <c r="E1221" s="50">
        <v>144.6</v>
      </c>
      <c r="F1221" s="50"/>
      <c r="G1221" s="50"/>
      <c r="H1221" s="50"/>
      <c r="I1221" s="50"/>
    </row>
    <row r="1222" spans="4:9">
      <c r="D1222" s="49">
        <v>44270</v>
      </c>
      <c r="E1222" s="50">
        <v>144.59</v>
      </c>
      <c r="F1222" s="50"/>
      <c r="G1222" s="50"/>
      <c r="H1222" s="50"/>
      <c r="I1222" s="50"/>
    </row>
    <row r="1223" spans="4:9">
      <c r="D1223" s="49">
        <v>44269</v>
      </c>
      <c r="E1223" s="50">
        <v>144.84</v>
      </c>
      <c r="F1223" s="50"/>
      <c r="G1223" s="50"/>
      <c r="H1223" s="50"/>
      <c r="I1223" s="50"/>
    </row>
    <row r="1224" spans="4:9">
      <c r="D1224" s="49">
        <v>44268</v>
      </c>
      <c r="E1224" s="50">
        <v>144.84</v>
      </c>
      <c r="F1224" s="50"/>
      <c r="G1224" s="50"/>
      <c r="H1224" s="50"/>
      <c r="I1224" s="50"/>
    </row>
    <row r="1225" spans="4:9">
      <c r="D1225" s="49">
        <v>44267</v>
      </c>
      <c r="E1225" s="50">
        <v>144.84</v>
      </c>
      <c r="F1225" s="50"/>
      <c r="G1225" s="50"/>
      <c r="H1225" s="50"/>
      <c r="I1225" s="50"/>
    </row>
    <row r="1226" spans="4:9">
      <c r="D1226" s="49">
        <v>44266</v>
      </c>
      <c r="E1226" s="50">
        <v>144.30000000000001</v>
      </c>
      <c r="F1226" s="50"/>
      <c r="G1226" s="50"/>
      <c r="H1226" s="50"/>
      <c r="I1226" s="50"/>
    </row>
    <row r="1227" spans="4:9">
      <c r="D1227" s="49">
        <v>44265</v>
      </c>
      <c r="E1227" s="50">
        <v>144.43</v>
      </c>
      <c r="F1227" s="50"/>
      <c r="G1227" s="50"/>
      <c r="H1227" s="50"/>
      <c r="I1227" s="50"/>
    </row>
    <row r="1228" spans="4:9">
      <c r="D1228" s="49">
        <v>44264</v>
      </c>
      <c r="E1228" s="50">
        <v>145.38999999999999</v>
      </c>
      <c r="F1228" s="50"/>
      <c r="G1228" s="50"/>
      <c r="H1228" s="50"/>
      <c r="I1228" s="50"/>
    </row>
    <row r="1229" spans="4:9">
      <c r="D1229" s="49">
        <v>44263</v>
      </c>
      <c r="E1229" s="50">
        <v>145.87</v>
      </c>
      <c r="F1229" s="50"/>
      <c r="G1229" s="50"/>
      <c r="H1229" s="50"/>
      <c r="I1229" s="50"/>
    </row>
    <row r="1230" spans="4:9">
      <c r="D1230" s="49">
        <v>44262</v>
      </c>
      <c r="E1230" s="50">
        <v>145.87</v>
      </c>
      <c r="F1230" s="50"/>
      <c r="G1230" s="50"/>
      <c r="H1230" s="50"/>
      <c r="I1230" s="50"/>
    </row>
    <row r="1231" spans="4:9">
      <c r="D1231" s="49">
        <v>44261</v>
      </c>
      <c r="E1231" s="50">
        <v>145.87</v>
      </c>
      <c r="F1231" s="50"/>
      <c r="G1231" s="50"/>
      <c r="H1231" s="50"/>
      <c r="I1231" s="50"/>
    </row>
    <row r="1232" spans="4:9">
      <c r="D1232" s="49">
        <v>44260</v>
      </c>
      <c r="E1232" s="50">
        <v>145.87</v>
      </c>
      <c r="F1232" s="50"/>
      <c r="G1232" s="50"/>
      <c r="H1232" s="50"/>
      <c r="I1232" s="50"/>
    </row>
    <row r="1233" spans="4:9">
      <c r="D1233" s="49">
        <v>44259</v>
      </c>
      <c r="E1233" s="50">
        <v>145.11000000000001</v>
      </c>
      <c r="F1233" s="50"/>
      <c r="G1233" s="50"/>
      <c r="H1233" s="50"/>
      <c r="I1233" s="50"/>
    </row>
    <row r="1234" spans="4:9">
      <c r="D1234" s="49">
        <v>44258</v>
      </c>
      <c r="E1234" s="50">
        <v>146.11000000000001</v>
      </c>
      <c r="F1234" s="50"/>
      <c r="G1234" s="50"/>
      <c r="H1234" s="50"/>
      <c r="I1234" s="50"/>
    </row>
    <row r="1235" spans="4:9">
      <c r="D1235" s="49">
        <v>44257</v>
      </c>
      <c r="E1235" s="50">
        <v>146.13</v>
      </c>
      <c r="F1235" s="50"/>
      <c r="G1235" s="50"/>
      <c r="H1235" s="50"/>
      <c r="I1235" s="50"/>
    </row>
    <row r="1236" spans="4:9">
      <c r="D1236" s="49">
        <v>44256</v>
      </c>
      <c r="E1236" s="50">
        <v>143.80000000000001</v>
      </c>
      <c r="F1236" s="50"/>
      <c r="G1236" s="50"/>
      <c r="H1236" s="50"/>
      <c r="I1236" s="50"/>
    </row>
    <row r="1237" spans="4:9">
      <c r="D1237" s="49">
        <v>44255</v>
      </c>
      <c r="E1237" s="50">
        <v>141.91999999999999</v>
      </c>
      <c r="F1237" s="50"/>
      <c r="G1237" s="50"/>
      <c r="H1237" s="50"/>
      <c r="I1237" s="50"/>
    </row>
    <row r="1238" spans="4:9">
      <c r="D1238" s="49">
        <v>44254</v>
      </c>
      <c r="E1238" s="50">
        <v>141.91999999999999</v>
      </c>
      <c r="F1238" s="50"/>
      <c r="G1238" s="50"/>
      <c r="H1238" s="50"/>
      <c r="I1238" s="50"/>
    </row>
    <row r="1239" spans="4:9">
      <c r="D1239" s="49">
        <v>44253</v>
      </c>
      <c r="E1239" s="50">
        <v>141.91999999999999</v>
      </c>
      <c r="F1239" s="50"/>
      <c r="G1239" s="50"/>
      <c r="H1239" s="50"/>
      <c r="I1239" s="50"/>
    </row>
    <row r="1240" spans="4:9">
      <c r="D1240" s="49">
        <v>44252</v>
      </c>
      <c r="E1240" s="50">
        <v>141.91999999999999</v>
      </c>
      <c r="F1240" s="50"/>
      <c r="G1240" s="50"/>
      <c r="H1240" s="50"/>
      <c r="I1240" s="50"/>
    </row>
    <row r="1241" spans="4:9">
      <c r="D1241" s="49">
        <v>44251</v>
      </c>
      <c r="E1241" s="50">
        <v>140.94</v>
      </c>
      <c r="F1241" s="50"/>
      <c r="G1241" s="50"/>
      <c r="H1241" s="50"/>
      <c r="I1241" s="50"/>
    </row>
    <row r="1242" spans="4:9">
      <c r="D1242" s="49">
        <v>44250</v>
      </c>
      <c r="E1242" s="50">
        <v>139.86000000000001</v>
      </c>
      <c r="F1242" s="50"/>
      <c r="G1242" s="50"/>
      <c r="H1242" s="50"/>
      <c r="I1242" s="50"/>
    </row>
    <row r="1243" spans="4:9">
      <c r="D1243" s="49">
        <v>44249</v>
      </c>
      <c r="E1243" s="50">
        <v>138.79</v>
      </c>
      <c r="F1243" s="50"/>
      <c r="G1243" s="50"/>
      <c r="H1243" s="50"/>
      <c r="I1243" s="50"/>
    </row>
    <row r="1244" spans="4:9">
      <c r="D1244" s="49">
        <v>44248</v>
      </c>
      <c r="E1244" s="50">
        <v>140.65</v>
      </c>
      <c r="F1244" s="50"/>
      <c r="G1244" s="50"/>
      <c r="H1244" s="50"/>
      <c r="I1244" s="50"/>
    </row>
    <row r="1245" spans="4:9">
      <c r="D1245" s="49">
        <v>44247</v>
      </c>
      <c r="E1245" s="50">
        <v>140.65</v>
      </c>
      <c r="F1245" s="50"/>
      <c r="G1245" s="50"/>
      <c r="H1245" s="50"/>
      <c r="I1245" s="50"/>
    </row>
    <row r="1246" spans="4:9">
      <c r="D1246" s="49">
        <v>44246</v>
      </c>
      <c r="E1246" s="50">
        <v>140.65</v>
      </c>
      <c r="F1246" s="50"/>
      <c r="G1246" s="50"/>
      <c r="H1246" s="50"/>
      <c r="I1246" s="50"/>
    </row>
    <row r="1247" spans="4:9">
      <c r="D1247" s="49">
        <v>44245</v>
      </c>
      <c r="E1247" s="50">
        <v>141.77000000000001</v>
      </c>
      <c r="F1247" s="50"/>
      <c r="G1247" s="50"/>
      <c r="H1247" s="50"/>
      <c r="I1247" s="50"/>
    </row>
    <row r="1248" spans="4:9">
      <c r="D1248" s="49">
        <v>44244</v>
      </c>
      <c r="E1248" s="50">
        <v>143.47</v>
      </c>
      <c r="F1248" s="50"/>
      <c r="G1248" s="50"/>
      <c r="H1248" s="50"/>
      <c r="I1248" s="50"/>
    </row>
    <row r="1249" spans="4:9">
      <c r="D1249" s="49">
        <v>44243</v>
      </c>
      <c r="E1249" s="50">
        <v>147.65</v>
      </c>
      <c r="F1249" s="50"/>
      <c r="G1249" s="50"/>
      <c r="H1249" s="50"/>
      <c r="I1249" s="50"/>
    </row>
    <row r="1250" spans="4:9">
      <c r="D1250" s="49">
        <v>44242</v>
      </c>
      <c r="E1250" s="50">
        <v>147.65</v>
      </c>
      <c r="F1250" s="50"/>
      <c r="G1250" s="50"/>
      <c r="H1250" s="50"/>
      <c r="I1250" s="50"/>
    </row>
    <row r="1251" spans="4:9">
      <c r="D1251" s="49">
        <v>44241</v>
      </c>
      <c r="E1251" s="50">
        <v>147.65</v>
      </c>
      <c r="F1251" s="50"/>
      <c r="G1251" s="50"/>
      <c r="H1251" s="50"/>
      <c r="I1251" s="50"/>
    </row>
    <row r="1252" spans="4:9">
      <c r="D1252" s="49">
        <v>44240</v>
      </c>
      <c r="E1252" s="50">
        <v>147.65</v>
      </c>
      <c r="F1252" s="50"/>
      <c r="G1252" s="50"/>
      <c r="H1252" s="50"/>
      <c r="I1252" s="50"/>
    </row>
    <row r="1253" spans="4:9">
      <c r="D1253" s="49">
        <v>44239</v>
      </c>
      <c r="E1253" s="50">
        <v>147.65</v>
      </c>
      <c r="F1253" s="50"/>
      <c r="G1253" s="50"/>
      <c r="H1253" s="50"/>
      <c r="I1253" s="50"/>
    </row>
    <row r="1254" spans="4:9">
      <c r="D1254" s="49">
        <v>44238</v>
      </c>
      <c r="E1254" s="50">
        <v>148.34</v>
      </c>
      <c r="F1254" s="50"/>
      <c r="G1254" s="50"/>
      <c r="H1254" s="50"/>
      <c r="I1254" s="50"/>
    </row>
    <row r="1255" spans="4:9">
      <c r="D1255" s="49">
        <v>44237</v>
      </c>
      <c r="E1255" s="50">
        <v>149.75</v>
      </c>
      <c r="F1255" s="50"/>
      <c r="G1255" s="50"/>
      <c r="H1255" s="50"/>
      <c r="I1255" s="50"/>
    </row>
    <row r="1256" spans="4:9">
      <c r="D1256" s="49">
        <v>44236</v>
      </c>
      <c r="E1256" s="50">
        <v>150</v>
      </c>
      <c r="F1256" s="50"/>
      <c r="G1256" s="50"/>
      <c r="H1256" s="50"/>
      <c r="I1256" s="50"/>
    </row>
    <row r="1257" spans="4:9">
      <c r="D1257" s="49">
        <v>44235</v>
      </c>
      <c r="E1257" s="50">
        <v>149.6</v>
      </c>
      <c r="F1257" s="50"/>
      <c r="G1257" s="50"/>
      <c r="H1257" s="50"/>
      <c r="I1257" s="50"/>
    </row>
    <row r="1258" spans="4:9">
      <c r="D1258" s="49">
        <v>44234</v>
      </c>
      <c r="E1258" s="50">
        <v>149.6</v>
      </c>
      <c r="F1258" s="50"/>
      <c r="G1258" s="50"/>
      <c r="H1258" s="50"/>
      <c r="I1258" s="50"/>
    </row>
    <row r="1259" spans="4:9">
      <c r="D1259" s="49">
        <v>44233</v>
      </c>
      <c r="E1259" s="50">
        <v>149.6</v>
      </c>
      <c r="F1259" s="50"/>
      <c r="G1259" s="50"/>
      <c r="H1259" s="50"/>
      <c r="I1259" s="50"/>
    </row>
    <row r="1260" spans="4:9">
      <c r="D1260" s="49">
        <v>44232</v>
      </c>
      <c r="E1260" s="50">
        <v>149.6</v>
      </c>
      <c r="F1260" s="50"/>
      <c r="G1260" s="50"/>
      <c r="H1260" s="50"/>
      <c r="I1260" s="50"/>
    </row>
    <row r="1261" spans="4:9">
      <c r="D1261" s="49">
        <v>44231</v>
      </c>
      <c r="E1261" s="50">
        <v>149.84</v>
      </c>
      <c r="F1261" s="50"/>
      <c r="G1261" s="50"/>
      <c r="H1261" s="50"/>
      <c r="I1261" s="50"/>
    </row>
    <row r="1262" spans="4:9">
      <c r="D1262" s="49">
        <v>44230</v>
      </c>
      <c r="E1262" s="50">
        <v>149.34</v>
      </c>
      <c r="F1262" s="50"/>
      <c r="G1262" s="50"/>
      <c r="H1262" s="50"/>
      <c r="I1262" s="50"/>
    </row>
    <row r="1263" spans="4:9">
      <c r="D1263" s="49">
        <v>44229</v>
      </c>
      <c r="E1263" s="50">
        <v>148.83000000000001</v>
      </c>
      <c r="F1263" s="50"/>
      <c r="G1263" s="50"/>
      <c r="H1263" s="50"/>
      <c r="I1263" s="50"/>
    </row>
    <row r="1264" spans="4:9">
      <c r="D1264" s="49">
        <v>44228</v>
      </c>
      <c r="E1264" s="50">
        <v>148.33000000000001</v>
      </c>
      <c r="F1264" s="50"/>
      <c r="G1264" s="50"/>
      <c r="H1264" s="50"/>
      <c r="I1264" s="50"/>
    </row>
    <row r="1265" spans="4:9">
      <c r="D1265" s="49">
        <v>44227</v>
      </c>
      <c r="E1265" s="50">
        <v>147.88</v>
      </c>
      <c r="F1265" s="50"/>
      <c r="G1265" s="50"/>
      <c r="H1265" s="50"/>
      <c r="I1265" s="50"/>
    </row>
    <row r="1266" spans="4:9">
      <c r="D1266" s="49">
        <v>44226</v>
      </c>
      <c r="E1266" s="50">
        <v>147.88</v>
      </c>
      <c r="F1266" s="50"/>
      <c r="G1266" s="50"/>
      <c r="H1266" s="50"/>
      <c r="I1266" s="50"/>
    </row>
    <row r="1267" spans="4:9">
      <c r="D1267" s="49">
        <v>44225</v>
      </c>
      <c r="E1267" s="50">
        <v>147.88</v>
      </c>
      <c r="F1267" s="50"/>
      <c r="G1267" s="50"/>
      <c r="H1267" s="50"/>
      <c r="I1267" s="50"/>
    </row>
    <row r="1268" spans="4:9">
      <c r="D1268" s="49">
        <v>44224</v>
      </c>
      <c r="E1268" s="50">
        <v>147.9</v>
      </c>
      <c r="F1268" s="50"/>
      <c r="G1268" s="50"/>
      <c r="H1268" s="50"/>
      <c r="I1268" s="50"/>
    </row>
    <row r="1269" spans="4:9">
      <c r="D1269" s="49">
        <v>44223</v>
      </c>
      <c r="E1269" s="50">
        <v>147.38</v>
      </c>
      <c r="F1269" s="50"/>
      <c r="G1269" s="50"/>
      <c r="H1269" s="50"/>
      <c r="I1269" s="50"/>
    </row>
    <row r="1270" spans="4:9">
      <c r="D1270" s="49">
        <v>44222</v>
      </c>
      <c r="E1270" s="50">
        <v>146.88999999999999</v>
      </c>
      <c r="F1270" s="50"/>
      <c r="G1270" s="50"/>
      <c r="H1270" s="50"/>
      <c r="I1270" s="50"/>
    </row>
    <row r="1271" spans="4:9">
      <c r="D1271" s="49">
        <v>44221</v>
      </c>
      <c r="E1271" s="50">
        <v>146.38</v>
      </c>
      <c r="F1271" s="50"/>
      <c r="G1271" s="50"/>
      <c r="H1271" s="50"/>
      <c r="I1271" s="50"/>
    </row>
    <row r="1272" spans="4:9">
      <c r="D1272" s="49">
        <v>44220</v>
      </c>
      <c r="E1272" s="50">
        <v>145.88</v>
      </c>
      <c r="F1272" s="50"/>
      <c r="G1272" s="50"/>
      <c r="H1272" s="50"/>
      <c r="I1272" s="50"/>
    </row>
    <row r="1273" spans="4:9">
      <c r="D1273" s="49">
        <v>44219</v>
      </c>
      <c r="E1273" s="50">
        <v>145.88</v>
      </c>
      <c r="F1273" s="50"/>
      <c r="G1273" s="50"/>
      <c r="H1273" s="50"/>
      <c r="I1273" s="50"/>
    </row>
    <row r="1274" spans="4:9">
      <c r="D1274" s="49">
        <v>44218</v>
      </c>
      <c r="E1274" s="50">
        <v>145.88</v>
      </c>
      <c r="F1274" s="50"/>
      <c r="G1274" s="50"/>
      <c r="H1274" s="50"/>
      <c r="I1274" s="50"/>
    </row>
    <row r="1275" spans="4:9">
      <c r="D1275" s="49">
        <v>44217</v>
      </c>
      <c r="E1275" s="50">
        <v>145.96</v>
      </c>
      <c r="F1275" s="50"/>
      <c r="G1275" s="50"/>
      <c r="H1275" s="50"/>
      <c r="I1275" s="50"/>
    </row>
    <row r="1276" spans="4:9">
      <c r="D1276" s="49">
        <v>44216</v>
      </c>
      <c r="E1276" s="50">
        <v>145.72</v>
      </c>
      <c r="F1276" s="50"/>
      <c r="G1276" s="50"/>
      <c r="H1276" s="50"/>
      <c r="I1276" s="50"/>
    </row>
    <row r="1277" spans="4:9">
      <c r="D1277" s="49">
        <v>44215</v>
      </c>
      <c r="E1277" s="50">
        <v>145.47999999999999</v>
      </c>
      <c r="F1277" s="50"/>
      <c r="G1277" s="50"/>
      <c r="H1277" s="50"/>
      <c r="I1277" s="50"/>
    </row>
    <row r="1278" spans="4:9">
      <c r="D1278" s="49">
        <v>44214</v>
      </c>
      <c r="E1278" s="50">
        <v>145.36000000000001</v>
      </c>
      <c r="F1278" s="50"/>
      <c r="G1278" s="50"/>
      <c r="H1278" s="50"/>
      <c r="I1278" s="50"/>
    </row>
    <row r="1279" spans="4:9">
      <c r="D1279" s="49">
        <v>44213</v>
      </c>
      <c r="E1279" s="50">
        <v>145.38999999999999</v>
      </c>
      <c r="F1279" s="50"/>
      <c r="G1279" s="50"/>
      <c r="H1279" s="50"/>
      <c r="I1279" s="50"/>
    </row>
    <row r="1280" spans="4:9">
      <c r="D1280" s="49">
        <v>44212</v>
      </c>
      <c r="E1280" s="50">
        <v>145.38999999999999</v>
      </c>
      <c r="F1280" s="50"/>
      <c r="G1280" s="50"/>
      <c r="H1280" s="50"/>
      <c r="I1280" s="50"/>
    </row>
    <row r="1281" spans="4:9">
      <c r="D1281" s="49">
        <v>44211</v>
      </c>
      <c r="E1281" s="50">
        <v>145.38999999999999</v>
      </c>
      <c r="F1281" s="50"/>
      <c r="G1281" s="50"/>
      <c r="H1281" s="50"/>
      <c r="I1281" s="50"/>
    </row>
    <row r="1282" spans="4:9">
      <c r="D1282" s="49">
        <v>44210</v>
      </c>
      <c r="E1282" s="50">
        <v>145.41999999999999</v>
      </c>
      <c r="F1282" s="50"/>
      <c r="G1282" s="50"/>
      <c r="H1282" s="50"/>
      <c r="I1282" s="50"/>
    </row>
    <row r="1283" spans="4:9">
      <c r="D1283" s="49">
        <v>44209</v>
      </c>
      <c r="E1283" s="50">
        <v>144.72</v>
      </c>
      <c r="F1283" s="50"/>
      <c r="G1283" s="50"/>
      <c r="H1283" s="50"/>
      <c r="I1283" s="50"/>
    </row>
    <row r="1284" spans="4:9">
      <c r="D1284" s="49">
        <v>44208</v>
      </c>
      <c r="E1284" s="50">
        <v>144.97999999999999</v>
      </c>
      <c r="F1284" s="50"/>
      <c r="G1284" s="50"/>
      <c r="H1284" s="50"/>
      <c r="I1284" s="50"/>
    </row>
    <row r="1285" spans="4:9">
      <c r="D1285" s="49">
        <v>44207</v>
      </c>
      <c r="E1285" s="50">
        <v>145.80000000000001</v>
      </c>
      <c r="F1285" s="50"/>
      <c r="G1285" s="50"/>
      <c r="H1285" s="50"/>
      <c r="I1285" s="50"/>
    </row>
    <row r="1286" spans="4:9">
      <c r="D1286" s="49">
        <v>44206</v>
      </c>
      <c r="E1286" s="50">
        <v>145.06</v>
      </c>
      <c r="F1286" s="50"/>
      <c r="G1286" s="50"/>
      <c r="H1286" s="50"/>
      <c r="I1286" s="50"/>
    </row>
    <row r="1287" spans="4:9">
      <c r="D1287" s="49">
        <v>44205</v>
      </c>
      <c r="E1287" s="50">
        <v>145.06</v>
      </c>
      <c r="F1287" s="50"/>
      <c r="G1287" s="50"/>
      <c r="H1287" s="50"/>
      <c r="I1287" s="50"/>
    </row>
    <row r="1288" spans="4:9">
      <c r="D1288" s="49">
        <v>44204</v>
      </c>
      <c r="E1288" s="50">
        <v>145.06</v>
      </c>
      <c r="F1288" s="50"/>
      <c r="G1288" s="50"/>
      <c r="H1288" s="50"/>
      <c r="I1288" s="50"/>
    </row>
    <row r="1289" spans="4:9">
      <c r="D1289" s="49">
        <v>44203</v>
      </c>
      <c r="E1289" s="50">
        <v>145.84</v>
      </c>
      <c r="F1289" s="50"/>
      <c r="G1289" s="50"/>
      <c r="H1289" s="50"/>
      <c r="I1289" s="50"/>
    </row>
    <row r="1290" spans="4:9">
      <c r="D1290" s="49">
        <v>44202</v>
      </c>
      <c r="E1290" s="50">
        <v>144.38999999999999</v>
      </c>
      <c r="F1290" s="50"/>
      <c r="G1290" s="50"/>
      <c r="H1290" s="50"/>
      <c r="I1290" s="50"/>
    </row>
    <row r="1291" spans="4:9">
      <c r="D1291" s="49">
        <v>44201</v>
      </c>
      <c r="E1291" s="50">
        <v>143.55000000000001</v>
      </c>
      <c r="F1291" s="50"/>
      <c r="G1291" s="50"/>
      <c r="H1291" s="50"/>
      <c r="I1291" s="50"/>
    </row>
    <row r="1292" spans="4:9">
      <c r="D1292" s="49">
        <v>44200</v>
      </c>
      <c r="E1292" s="50">
        <v>142.32</v>
      </c>
      <c r="F1292" s="50"/>
      <c r="G1292" s="50"/>
      <c r="H1292" s="50"/>
      <c r="I1292" s="50"/>
    </row>
    <row r="1293" spans="4:9">
      <c r="D1293" s="49">
        <v>44199</v>
      </c>
      <c r="E1293" s="50">
        <v>139.99</v>
      </c>
      <c r="F1293" s="50"/>
      <c r="G1293" s="50"/>
      <c r="H1293" s="50"/>
      <c r="I1293" s="50"/>
    </row>
    <row r="1294" spans="4:9">
      <c r="D1294" s="49">
        <v>44198</v>
      </c>
      <c r="E1294" s="50">
        <v>139.99</v>
      </c>
      <c r="F1294" s="50"/>
      <c r="G1294" s="50"/>
      <c r="H1294" s="50"/>
      <c r="I1294" s="50"/>
    </row>
    <row r="1295" spans="4:9">
      <c r="D1295" s="49">
        <v>44197</v>
      </c>
      <c r="E1295" s="50">
        <v>139.99</v>
      </c>
      <c r="F1295" s="50"/>
      <c r="G1295" s="50"/>
      <c r="H1295" s="50"/>
      <c r="I1295" s="50"/>
    </row>
    <row r="1296" spans="4:9">
      <c r="D1296" s="49">
        <v>44196</v>
      </c>
      <c r="E1296" s="50">
        <v>139.99</v>
      </c>
      <c r="F1296" s="50"/>
      <c r="G1296" s="50"/>
      <c r="H1296" s="50"/>
      <c r="I1296" s="50"/>
    </row>
    <row r="1297" spans="4:9">
      <c r="D1297" s="49">
        <v>44195</v>
      </c>
      <c r="E1297" s="50">
        <v>139.99</v>
      </c>
      <c r="F1297" s="50"/>
      <c r="G1297" s="50"/>
      <c r="H1297" s="50"/>
      <c r="I1297" s="50"/>
    </row>
    <row r="1298" spans="4:9">
      <c r="D1298" s="49">
        <v>44194</v>
      </c>
      <c r="E1298" s="50">
        <v>140.04</v>
      </c>
      <c r="F1298" s="50"/>
      <c r="G1298" s="50"/>
      <c r="H1298" s="50"/>
      <c r="I1298" s="50"/>
    </row>
    <row r="1299" spans="4:9">
      <c r="D1299" s="49">
        <v>44193</v>
      </c>
      <c r="E1299" s="50">
        <v>140</v>
      </c>
      <c r="F1299" s="50"/>
      <c r="G1299" s="50"/>
      <c r="H1299" s="50"/>
      <c r="I1299" s="50"/>
    </row>
    <row r="1300" spans="4:9">
      <c r="D1300" s="49">
        <v>44192</v>
      </c>
      <c r="E1300" s="50">
        <v>140.35</v>
      </c>
      <c r="F1300" s="50"/>
      <c r="G1300" s="50"/>
      <c r="H1300" s="50"/>
      <c r="I1300" s="50"/>
    </row>
    <row r="1301" spans="4:9">
      <c r="D1301" s="49">
        <v>44191</v>
      </c>
      <c r="E1301" s="50">
        <v>140.35</v>
      </c>
      <c r="F1301" s="50"/>
      <c r="G1301" s="50"/>
      <c r="H1301" s="50"/>
      <c r="I1301" s="50"/>
    </row>
    <row r="1302" spans="4:9">
      <c r="D1302" s="49">
        <v>44190</v>
      </c>
      <c r="E1302" s="50">
        <v>140.35</v>
      </c>
      <c r="F1302" s="50"/>
      <c r="G1302" s="50"/>
      <c r="H1302" s="50"/>
      <c r="I1302" s="50"/>
    </row>
    <row r="1303" spans="4:9">
      <c r="D1303" s="49">
        <v>44189</v>
      </c>
      <c r="E1303" s="50">
        <v>140.35</v>
      </c>
      <c r="F1303" s="50"/>
      <c r="G1303" s="50"/>
      <c r="H1303" s="50"/>
      <c r="I1303" s="50"/>
    </row>
    <row r="1304" spans="4:9">
      <c r="D1304" s="49">
        <v>44188</v>
      </c>
      <c r="E1304" s="50">
        <v>140.35</v>
      </c>
      <c r="F1304" s="50"/>
      <c r="G1304" s="50"/>
      <c r="H1304" s="50"/>
      <c r="I1304" s="50"/>
    </row>
    <row r="1305" spans="4:9">
      <c r="D1305" s="49">
        <v>44187</v>
      </c>
      <c r="E1305" s="50">
        <v>140.04</v>
      </c>
      <c r="F1305" s="50"/>
      <c r="G1305" s="50"/>
      <c r="H1305" s="50"/>
      <c r="I1305" s="50"/>
    </row>
    <row r="1306" spans="4:9">
      <c r="D1306" s="49">
        <v>44186</v>
      </c>
      <c r="E1306" s="50">
        <v>138.81</v>
      </c>
      <c r="F1306" s="50"/>
      <c r="G1306" s="50"/>
      <c r="H1306" s="50"/>
      <c r="I1306" s="50"/>
    </row>
    <row r="1307" spans="4:9">
      <c r="D1307" s="49">
        <v>44185</v>
      </c>
      <c r="E1307" s="50">
        <v>140.72999999999999</v>
      </c>
      <c r="F1307" s="50"/>
      <c r="G1307" s="50"/>
      <c r="H1307" s="50"/>
      <c r="I1307" s="50"/>
    </row>
    <row r="1308" spans="4:9">
      <c r="D1308" s="49">
        <v>44184</v>
      </c>
      <c r="E1308" s="50">
        <v>140.72999999999999</v>
      </c>
      <c r="F1308" s="50"/>
      <c r="G1308" s="50"/>
      <c r="H1308" s="50"/>
      <c r="I1308" s="50"/>
    </row>
    <row r="1309" spans="4:9">
      <c r="D1309" s="49">
        <v>44183</v>
      </c>
      <c r="E1309" s="50">
        <v>140.72999999999999</v>
      </c>
      <c r="F1309" s="50"/>
      <c r="G1309" s="50"/>
      <c r="H1309" s="50"/>
      <c r="I1309" s="50"/>
    </row>
    <row r="1310" spans="4:9">
      <c r="D1310" s="49">
        <v>44182</v>
      </c>
      <c r="E1310" s="50">
        <v>140.79</v>
      </c>
      <c r="F1310" s="50"/>
      <c r="G1310" s="50"/>
      <c r="H1310" s="50"/>
      <c r="I1310" s="50"/>
    </row>
    <row r="1311" spans="4:9">
      <c r="D1311" s="49">
        <v>44181</v>
      </c>
      <c r="E1311" s="50">
        <v>141.26</v>
      </c>
      <c r="F1311" s="50"/>
      <c r="G1311" s="50"/>
      <c r="H1311" s="50"/>
      <c r="I1311" s="50"/>
    </row>
    <row r="1312" spans="4:9">
      <c r="D1312" s="49">
        <v>44180</v>
      </c>
      <c r="E1312" s="50">
        <v>141.82</v>
      </c>
      <c r="F1312" s="50"/>
      <c r="G1312" s="50"/>
      <c r="H1312" s="50"/>
      <c r="I1312" s="50"/>
    </row>
    <row r="1313" spans="4:9">
      <c r="D1313" s="49">
        <v>44179</v>
      </c>
      <c r="E1313" s="50">
        <v>140.29</v>
      </c>
      <c r="F1313" s="50"/>
      <c r="G1313" s="50"/>
      <c r="H1313" s="50"/>
      <c r="I1313" s="50"/>
    </row>
    <row r="1314" spans="4:9">
      <c r="D1314" s="49">
        <v>44178</v>
      </c>
      <c r="E1314" s="50">
        <v>138.22</v>
      </c>
      <c r="F1314" s="50"/>
      <c r="G1314" s="50"/>
      <c r="H1314" s="50"/>
      <c r="I1314" s="50"/>
    </row>
    <row r="1315" spans="4:9">
      <c r="D1315" s="49">
        <v>44177</v>
      </c>
      <c r="E1315" s="50">
        <v>138.22</v>
      </c>
      <c r="F1315" s="50"/>
      <c r="G1315" s="50"/>
      <c r="H1315" s="50"/>
      <c r="I1315" s="50"/>
    </row>
    <row r="1316" spans="4:9">
      <c r="D1316" s="49">
        <v>44176</v>
      </c>
      <c r="E1316" s="50">
        <v>138.22</v>
      </c>
      <c r="F1316" s="50"/>
      <c r="G1316" s="50"/>
      <c r="H1316" s="50"/>
      <c r="I1316" s="50"/>
    </row>
    <row r="1317" spans="4:9">
      <c r="D1317" s="49">
        <v>44175</v>
      </c>
      <c r="E1317" s="50">
        <v>138.22</v>
      </c>
      <c r="F1317" s="50"/>
      <c r="G1317" s="50"/>
      <c r="H1317" s="50"/>
      <c r="I1317" s="50"/>
    </row>
    <row r="1318" spans="4:9">
      <c r="D1318" s="49">
        <v>44174</v>
      </c>
      <c r="E1318" s="50">
        <v>139.49</v>
      </c>
      <c r="F1318" s="50"/>
      <c r="G1318" s="50"/>
      <c r="H1318" s="50"/>
      <c r="I1318" s="50"/>
    </row>
    <row r="1319" spans="4:9">
      <c r="D1319" s="49">
        <v>44173</v>
      </c>
      <c r="E1319" s="50">
        <v>142.05000000000001</v>
      </c>
      <c r="F1319" s="50"/>
      <c r="G1319" s="50"/>
      <c r="H1319" s="50"/>
      <c r="I1319" s="50"/>
    </row>
    <row r="1320" spans="4:9">
      <c r="D1320" s="49">
        <v>44172</v>
      </c>
      <c r="E1320" s="50">
        <v>142.05000000000001</v>
      </c>
      <c r="F1320" s="50"/>
      <c r="G1320" s="50"/>
      <c r="H1320" s="50"/>
      <c r="I1320" s="50"/>
    </row>
    <row r="1321" spans="4:9">
      <c r="D1321" s="49">
        <v>44171</v>
      </c>
      <c r="E1321" s="50">
        <v>142.05000000000001</v>
      </c>
      <c r="F1321" s="50"/>
      <c r="G1321" s="50"/>
      <c r="H1321" s="50"/>
      <c r="I1321" s="50"/>
    </row>
    <row r="1322" spans="4:9">
      <c r="D1322" s="49">
        <v>44170</v>
      </c>
      <c r="E1322" s="50">
        <v>142.05000000000001</v>
      </c>
      <c r="F1322" s="50"/>
      <c r="G1322" s="50"/>
      <c r="H1322" s="50"/>
      <c r="I1322" s="50"/>
    </row>
    <row r="1323" spans="4:9">
      <c r="D1323" s="49">
        <v>44169</v>
      </c>
      <c r="E1323" s="50">
        <v>142.05000000000001</v>
      </c>
      <c r="F1323" s="50"/>
      <c r="G1323" s="50"/>
      <c r="H1323" s="50"/>
      <c r="I1323" s="50"/>
    </row>
    <row r="1324" spans="4:9">
      <c r="D1324" s="49">
        <v>44168</v>
      </c>
      <c r="E1324" s="50">
        <v>139.74</v>
      </c>
      <c r="F1324" s="50"/>
      <c r="G1324" s="50"/>
      <c r="H1324" s="50"/>
      <c r="I1324" s="50"/>
    </row>
    <row r="1325" spans="4:9">
      <c r="D1325" s="49">
        <v>44167</v>
      </c>
      <c r="E1325" s="50">
        <v>144.36000000000001</v>
      </c>
      <c r="F1325" s="50"/>
      <c r="G1325" s="50"/>
      <c r="H1325" s="50"/>
      <c r="I1325" s="50"/>
    </row>
    <row r="1326" spans="4:9">
      <c r="D1326" s="49">
        <v>44166</v>
      </c>
      <c r="E1326" s="50">
        <v>144.69999999999999</v>
      </c>
      <c r="F1326" s="50"/>
      <c r="G1326" s="50"/>
      <c r="H1326" s="50"/>
      <c r="I1326" s="50"/>
    </row>
    <row r="1327" spans="4:9">
      <c r="D1327" s="49">
        <v>44165</v>
      </c>
      <c r="E1327" s="50">
        <v>144.55000000000001</v>
      </c>
      <c r="F1327" s="50"/>
      <c r="G1327" s="50"/>
      <c r="H1327" s="50"/>
      <c r="I1327" s="50"/>
    </row>
    <row r="1328" spans="4:9">
      <c r="D1328" s="49">
        <v>44164</v>
      </c>
      <c r="E1328" s="50">
        <v>145.44999999999999</v>
      </c>
      <c r="F1328" s="50"/>
      <c r="G1328" s="50"/>
      <c r="H1328" s="50"/>
      <c r="I1328" s="50"/>
    </row>
    <row r="1329" spans="4:9">
      <c r="D1329" s="49">
        <v>44163</v>
      </c>
      <c r="E1329" s="50">
        <v>145.44999999999999</v>
      </c>
      <c r="F1329" s="50"/>
      <c r="G1329" s="50"/>
      <c r="H1329" s="50"/>
      <c r="I1329" s="50"/>
    </row>
    <row r="1330" spans="4:9">
      <c r="D1330" s="49">
        <v>44162</v>
      </c>
      <c r="E1330" s="50">
        <v>145.44999999999999</v>
      </c>
      <c r="F1330" s="50"/>
      <c r="G1330" s="50"/>
      <c r="H1330" s="50"/>
      <c r="I1330" s="50"/>
    </row>
    <row r="1331" spans="4:9">
      <c r="D1331" s="49">
        <v>44161</v>
      </c>
      <c r="E1331" s="50">
        <v>146.59</v>
      </c>
      <c r="F1331" s="50"/>
      <c r="G1331" s="50"/>
      <c r="H1331" s="50"/>
      <c r="I1331" s="50"/>
    </row>
    <row r="1332" spans="4:9">
      <c r="D1332" s="49">
        <v>44160</v>
      </c>
      <c r="E1332" s="50">
        <v>146.68</v>
      </c>
      <c r="F1332" s="50"/>
      <c r="G1332" s="50"/>
      <c r="H1332" s="50"/>
      <c r="I1332" s="50"/>
    </row>
    <row r="1333" spans="4:9">
      <c r="D1333" s="49">
        <v>44159</v>
      </c>
      <c r="E1333" s="50">
        <v>147.88</v>
      </c>
      <c r="F1333" s="50"/>
      <c r="G1333" s="50"/>
      <c r="H1333" s="50"/>
      <c r="I1333" s="50"/>
    </row>
    <row r="1334" spans="4:9">
      <c r="D1334" s="49">
        <v>44158</v>
      </c>
      <c r="E1334" s="50">
        <v>147.16999999999999</v>
      </c>
      <c r="F1334" s="50"/>
      <c r="G1334" s="50"/>
      <c r="H1334" s="50"/>
      <c r="I1334" s="50"/>
    </row>
    <row r="1335" spans="4:9">
      <c r="D1335" s="49">
        <v>44157</v>
      </c>
      <c r="E1335" s="50">
        <v>147.16999999999999</v>
      </c>
      <c r="F1335" s="50"/>
      <c r="G1335" s="50"/>
      <c r="H1335" s="50"/>
      <c r="I1335" s="50"/>
    </row>
    <row r="1336" spans="4:9">
      <c r="D1336" s="49">
        <v>44156</v>
      </c>
      <c r="E1336" s="50">
        <v>147.16999999999999</v>
      </c>
      <c r="F1336" s="50"/>
      <c r="G1336" s="50"/>
      <c r="H1336" s="50"/>
      <c r="I1336" s="50"/>
    </row>
    <row r="1337" spans="4:9">
      <c r="D1337" s="49">
        <v>44155</v>
      </c>
      <c r="E1337" s="50">
        <v>147.16999999999999</v>
      </c>
      <c r="F1337" s="50"/>
      <c r="G1337" s="50"/>
      <c r="H1337" s="50"/>
      <c r="I1337" s="50"/>
    </row>
    <row r="1338" spans="4:9">
      <c r="D1338" s="49">
        <v>44154</v>
      </c>
      <c r="E1338" s="50">
        <v>146.53</v>
      </c>
      <c r="F1338" s="50"/>
      <c r="G1338" s="50"/>
      <c r="H1338" s="50"/>
      <c r="I1338" s="50"/>
    </row>
    <row r="1339" spans="4:9">
      <c r="D1339" s="49">
        <v>44153</v>
      </c>
      <c r="E1339" s="50">
        <v>145.94999999999999</v>
      </c>
      <c r="F1339" s="50"/>
      <c r="G1339" s="50"/>
      <c r="H1339" s="50"/>
      <c r="I1339" s="50"/>
    </row>
    <row r="1340" spans="4:9">
      <c r="D1340" s="49">
        <v>44152</v>
      </c>
      <c r="E1340" s="50">
        <v>144.1</v>
      </c>
      <c r="F1340" s="50"/>
      <c r="G1340" s="50"/>
      <c r="H1340" s="50"/>
      <c r="I1340" s="50"/>
    </row>
    <row r="1341" spans="4:9">
      <c r="D1341" s="49">
        <v>44151</v>
      </c>
      <c r="E1341" s="50">
        <v>142.82</v>
      </c>
      <c r="F1341" s="50"/>
      <c r="G1341" s="50"/>
      <c r="H1341" s="50"/>
      <c r="I1341" s="50"/>
    </row>
    <row r="1342" spans="4:9">
      <c r="D1342" s="49">
        <v>44150</v>
      </c>
      <c r="E1342" s="50">
        <v>141.22999999999999</v>
      </c>
      <c r="F1342" s="50"/>
      <c r="G1342" s="50"/>
      <c r="H1342" s="50"/>
      <c r="I1342" s="50"/>
    </row>
    <row r="1343" spans="4:9">
      <c r="D1343" s="49">
        <v>44149</v>
      </c>
      <c r="E1343" s="50">
        <v>141.22999999999999</v>
      </c>
      <c r="F1343" s="50"/>
      <c r="G1343" s="50"/>
      <c r="H1343" s="50"/>
      <c r="I1343" s="50"/>
    </row>
    <row r="1344" spans="4:9">
      <c r="D1344" s="49">
        <v>44148</v>
      </c>
      <c r="E1344" s="50">
        <v>141.22999999999999</v>
      </c>
      <c r="F1344" s="50"/>
      <c r="G1344" s="50"/>
      <c r="H1344" s="50"/>
      <c r="I1344" s="50"/>
    </row>
    <row r="1345" spans="4:9">
      <c r="D1345" s="49">
        <v>44147</v>
      </c>
      <c r="E1345" s="50">
        <v>141.5</v>
      </c>
      <c r="F1345" s="50"/>
      <c r="G1345" s="50"/>
      <c r="H1345" s="50"/>
      <c r="I1345" s="50"/>
    </row>
    <row r="1346" spans="4:9">
      <c r="D1346" s="49">
        <v>44146</v>
      </c>
      <c r="E1346" s="50">
        <v>145.54</v>
      </c>
      <c r="F1346" s="50"/>
      <c r="G1346" s="50"/>
      <c r="H1346" s="50"/>
      <c r="I1346" s="50"/>
    </row>
    <row r="1347" spans="4:9">
      <c r="D1347" s="49">
        <v>44145</v>
      </c>
      <c r="E1347" s="50">
        <v>141.43</v>
      </c>
      <c r="F1347" s="50"/>
      <c r="G1347" s="50"/>
      <c r="H1347" s="50"/>
      <c r="I1347" s="50"/>
    </row>
    <row r="1348" spans="4:9">
      <c r="D1348" s="49">
        <v>44144</v>
      </c>
      <c r="E1348" s="50">
        <v>141.97999999999999</v>
      </c>
      <c r="F1348" s="50"/>
      <c r="G1348" s="50"/>
      <c r="H1348" s="50"/>
      <c r="I1348" s="50"/>
    </row>
    <row r="1349" spans="4:9">
      <c r="D1349" s="49">
        <v>44143</v>
      </c>
      <c r="E1349" s="50">
        <v>141.58000000000001</v>
      </c>
      <c r="F1349" s="50"/>
      <c r="G1349" s="50"/>
      <c r="H1349" s="50"/>
      <c r="I1349" s="50"/>
    </row>
    <row r="1350" spans="4:9">
      <c r="D1350" s="49">
        <v>44142</v>
      </c>
      <c r="E1350" s="50">
        <v>141.58000000000001</v>
      </c>
      <c r="F1350" s="50"/>
      <c r="G1350" s="50"/>
      <c r="H1350" s="50"/>
      <c r="I1350" s="50"/>
    </row>
    <row r="1351" spans="4:9">
      <c r="D1351" s="49">
        <v>44141</v>
      </c>
      <c r="E1351" s="50">
        <v>141.58000000000001</v>
      </c>
      <c r="F1351" s="50"/>
      <c r="G1351" s="50"/>
      <c r="H1351" s="50"/>
      <c r="I1351" s="50"/>
    </row>
    <row r="1352" spans="4:9">
      <c r="D1352" s="49">
        <v>44140</v>
      </c>
      <c r="E1352" s="50">
        <v>141.88</v>
      </c>
      <c r="F1352" s="50"/>
      <c r="G1352" s="50"/>
      <c r="H1352" s="50"/>
      <c r="I1352" s="50"/>
    </row>
    <row r="1353" spans="4:9">
      <c r="D1353" s="49">
        <v>44139</v>
      </c>
      <c r="E1353" s="50">
        <v>139.75</v>
      </c>
      <c r="F1353" s="50"/>
      <c r="G1353" s="50"/>
      <c r="H1353" s="50"/>
      <c r="I1353" s="50"/>
    </row>
    <row r="1354" spans="4:9">
      <c r="D1354" s="49">
        <v>44138</v>
      </c>
      <c r="E1354" s="50">
        <v>140.18</v>
      </c>
      <c r="F1354" s="50"/>
      <c r="G1354" s="50"/>
      <c r="H1354" s="50"/>
      <c r="I1354" s="50"/>
    </row>
    <row r="1355" spans="4:9">
      <c r="D1355" s="49">
        <v>44137</v>
      </c>
      <c r="E1355" s="50">
        <v>139.22999999999999</v>
      </c>
      <c r="F1355" s="50"/>
      <c r="G1355" s="50"/>
      <c r="H1355" s="50"/>
      <c r="I1355" s="50"/>
    </row>
    <row r="1356" spans="4:9">
      <c r="D1356" s="49">
        <v>44136</v>
      </c>
      <c r="E1356" s="50">
        <v>143.22999999999999</v>
      </c>
      <c r="F1356" s="50"/>
      <c r="G1356" s="50"/>
      <c r="H1356" s="50"/>
      <c r="I1356" s="50"/>
    </row>
    <row r="1357" spans="4:9">
      <c r="D1357" s="49">
        <v>44135</v>
      </c>
      <c r="E1357" s="50">
        <v>143.22999999999999</v>
      </c>
      <c r="F1357" s="50"/>
      <c r="G1357" s="50"/>
      <c r="H1357" s="50"/>
      <c r="I1357" s="50"/>
    </row>
    <row r="1358" spans="4:9">
      <c r="D1358" s="49">
        <v>44134</v>
      </c>
      <c r="E1358" s="50">
        <v>143.22999999999999</v>
      </c>
      <c r="F1358" s="50"/>
      <c r="G1358" s="50"/>
      <c r="H1358" s="50"/>
      <c r="I1358" s="50"/>
    </row>
    <row r="1359" spans="4:9">
      <c r="D1359" s="49">
        <v>44133</v>
      </c>
      <c r="E1359" s="50">
        <v>144.04</v>
      </c>
      <c r="F1359" s="50"/>
      <c r="G1359" s="50"/>
      <c r="H1359" s="50"/>
      <c r="I1359" s="50"/>
    </row>
    <row r="1360" spans="4:9">
      <c r="D1360" s="49">
        <v>44132</v>
      </c>
      <c r="E1360" s="50">
        <v>144.85</v>
      </c>
      <c r="F1360" s="50"/>
      <c r="G1360" s="50"/>
      <c r="H1360" s="50"/>
      <c r="I1360" s="50"/>
    </row>
    <row r="1361" spans="4:9">
      <c r="D1361" s="49">
        <v>44131</v>
      </c>
      <c r="E1361" s="50">
        <v>152.97999999999999</v>
      </c>
      <c r="F1361" s="50"/>
      <c r="G1361" s="50"/>
      <c r="H1361" s="50"/>
      <c r="I1361" s="50"/>
    </row>
    <row r="1362" spans="4:9">
      <c r="D1362" s="49">
        <v>44130</v>
      </c>
      <c r="E1362" s="50">
        <v>157.21</v>
      </c>
      <c r="F1362" s="50"/>
      <c r="G1362" s="50"/>
      <c r="H1362" s="50"/>
      <c r="I1362" s="50"/>
    </row>
    <row r="1363" spans="4:9">
      <c r="D1363" s="49">
        <v>44129</v>
      </c>
      <c r="E1363" s="50">
        <v>155.16999999999999</v>
      </c>
      <c r="F1363" s="50"/>
      <c r="G1363" s="50"/>
      <c r="H1363" s="50"/>
      <c r="I1363" s="50"/>
    </row>
    <row r="1364" spans="4:9">
      <c r="D1364" s="49">
        <v>44128</v>
      </c>
      <c r="E1364" s="50">
        <v>155.16999999999999</v>
      </c>
      <c r="F1364" s="50"/>
      <c r="G1364" s="50"/>
      <c r="H1364" s="50"/>
      <c r="I1364" s="50"/>
    </row>
    <row r="1365" spans="4:9">
      <c r="D1365" s="49">
        <v>44127</v>
      </c>
      <c r="E1365" s="50">
        <v>155.16999999999999</v>
      </c>
      <c r="F1365" s="50"/>
      <c r="G1365" s="50"/>
      <c r="H1365" s="50"/>
      <c r="I1365" s="50"/>
    </row>
    <row r="1366" spans="4:9">
      <c r="D1366" s="49">
        <v>44126</v>
      </c>
      <c r="E1366" s="50">
        <v>163.09</v>
      </c>
      <c r="F1366" s="50"/>
      <c r="G1366" s="50"/>
      <c r="H1366" s="50"/>
      <c r="I1366" s="50"/>
    </row>
    <row r="1367" spans="4:9">
      <c r="D1367" s="49">
        <v>44125</v>
      </c>
      <c r="E1367" s="50">
        <v>162.66</v>
      </c>
      <c r="F1367" s="50"/>
      <c r="G1367" s="50"/>
      <c r="H1367" s="50"/>
      <c r="I1367" s="50"/>
    </row>
    <row r="1368" spans="4:9">
      <c r="D1368" s="49">
        <v>44124</v>
      </c>
      <c r="E1368" s="50">
        <v>160.91999999999999</v>
      </c>
      <c r="F1368" s="50"/>
      <c r="G1368" s="50"/>
      <c r="H1368" s="50"/>
      <c r="I1368" s="50"/>
    </row>
    <row r="1369" spans="4:9">
      <c r="D1369" s="49">
        <v>44123</v>
      </c>
      <c r="E1369" s="50">
        <v>153.4</v>
      </c>
      <c r="F1369" s="50"/>
      <c r="G1369" s="50"/>
      <c r="H1369" s="50"/>
      <c r="I1369" s="50"/>
    </row>
    <row r="1370" spans="4:9">
      <c r="D1370" s="49">
        <v>44122</v>
      </c>
      <c r="E1370" s="50">
        <v>152.07</v>
      </c>
      <c r="F1370" s="50"/>
      <c r="G1370" s="50"/>
      <c r="H1370" s="50"/>
      <c r="I1370" s="50"/>
    </row>
    <row r="1371" spans="4:9">
      <c r="D1371" s="49">
        <v>44121</v>
      </c>
      <c r="E1371" s="50">
        <v>152.07</v>
      </c>
      <c r="F1371" s="50"/>
      <c r="G1371" s="50"/>
      <c r="H1371" s="50"/>
      <c r="I1371" s="50"/>
    </row>
    <row r="1372" spans="4:9">
      <c r="D1372" s="49">
        <v>44120</v>
      </c>
      <c r="E1372" s="50">
        <v>152.07</v>
      </c>
      <c r="F1372" s="50"/>
      <c r="G1372" s="50"/>
      <c r="H1372" s="50"/>
      <c r="I1372" s="50"/>
    </row>
    <row r="1373" spans="4:9">
      <c r="D1373" s="49">
        <v>44119</v>
      </c>
      <c r="E1373" s="50">
        <v>154.97</v>
      </c>
      <c r="F1373" s="50"/>
      <c r="G1373" s="50"/>
      <c r="H1373" s="50"/>
      <c r="I1373" s="50"/>
    </row>
    <row r="1374" spans="4:9">
      <c r="D1374" s="49">
        <v>44118</v>
      </c>
      <c r="E1374" s="50">
        <v>150.28</v>
      </c>
      <c r="F1374" s="50"/>
      <c r="G1374" s="50"/>
      <c r="H1374" s="50"/>
      <c r="I1374" s="50"/>
    </row>
    <row r="1375" spans="4:9">
      <c r="D1375" s="49">
        <v>44117</v>
      </c>
      <c r="E1375" s="50">
        <v>144.94999999999999</v>
      </c>
      <c r="F1375" s="50"/>
      <c r="G1375" s="50"/>
      <c r="H1375" s="50"/>
      <c r="I1375" s="50"/>
    </row>
    <row r="1376" spans="4:9">
      <c r="D1376" s="49">
        <v>44116</v>
      </c>
      <c r="E1376" s="50">
        <v>143.41999999999999</v>
      </c>
      <c r="F1376" s="50"/>
      <c r="G1376" s="50"/>
      <c r="H1376" s="50"/>
      <c r="I1376" s="50"/>
    </row>
    <row r="1377" spans="4:9">
      <c r="D1377" s="49">
        <v>44115</v>
      </c>
      <c r="E1377" s="50">
        <v>143.41999999999999</v>
      </c>
      <c r="F1377" s="50"/>
      <c r="G1377" s="50"/>
      <c r="H1377" s="50"/>
      <c r="I1377" s="50"/>
    </row>
    <row r="1378" spans="4:9">
      <c r="D1378" s="49">
        <v>44114</v>
      </c>
      <c r="E1378" s="50">
        <v>143.41999999999999</v>
      </c>
      <c r="F1378" s="50"/>
      <c r="G1378" s="50"/>
      <c r="H1378" s="50"/>
      <c r="I1378" s="50"/>
    </row>
    <row r="1379" spans="4:9">
      <c r="D1379" s="49">
        <v>44113</v>
      </c>
      <c r="E1379" s="50">
        <v>143.41999999999999</v>
      </c>
      <c r="F1379" s="50"/>
      <c r="G1379" s="50"/>
      <c r="H1379" s="50"/>
      <c r="I1379" s="50"/>
    </row>
    <row r="1380" spans="4:9">
      <c r="D1380" s="49">
        <v>44112</v>
      </c>
      <c r="E1380" s="50">
        <v>140.94</v>
      </c>
      <c r="F1380" s="50"/>
      <c r="G1380" s="50"/>
      <c r="H1380" s="50"/>
      <c r="I1380" s="50"/>
    </row>
    <row r="1381" spans="4:9">
      <c r="D1381" s="49">
        <v>44111</v>
      </c>
      <c r="E1381" s="50">
        <v>138.97</v>
      </c>
      <c r="F1381" s="50"/>
      <c r="G1381" s="50"/>
      <c r="H1381" s="50"/>
      <c r="I1381" s="50"/>
    </row>
    <row r="1382" spans="4:9">
      <c r="D1382" s="49">
        <v>44110</v>
      </c>
      <c r="E1382" s="50">
        <v>140.16</v>
      </c>
      <c r="F1382" s="50"/>
      <c r="G1382" s="50"/>
      <c r="H1382" s="50"/>
      <c r="I1382" s="50"/>
    </row>
    <row r="1383" spans="4:9">
      <c r="D1383" s="49">
        <v>44109</v>
      </c>
      <c r="E1383" s="50">
        <v>140.79</v>
      </c>
      <c r="F1383" s="50"/>
      <c r="G1383" s="50"/>
      <c r="H1383" s="50"/>
      <c r="I1383" s="50"/>
    </row>
    <row r="1384" spans="4:9">
      <c r="D1384" s="49">
        <v>44108</v>
      </c>
      <c r="E1384" s="50">
        <v>138.15</v>
      </c>
      <c r="F1384" s="50"/>
      <c r="G1384" s="50"/>
      <c r="H1384" s="50"/>
      <c r="I1384" s="50"/>
    </row>
    <row r="1385" spans="4:9">
      <c r="D1385" s="49">
        <v>44107</v>
      </c>
      <c r="E1385" s="50">
        <v>138.15</v>
      </c>
      <c r="F1385" s="50"/>
      <c r="G1385" s="50"/>
      <c r="H1385" s="50"/>
      <c r="I1385" s="50"/>
    </row>
    <row r="1386" spans="4:9">
      <c r="D1386" s="49">
        <v>44106</v>
      </c>
      <c r="E1386" s="50">
        <v>138.15</v>
      </c>
      <c r="F1386" s="50"/>
      <c r="G1386" s="50"/>
      <c r="H1386" s="50"/>
      <c r="I1386" s="50"/>
    </row>
    <row r="1387" spans="4:9">
      <c r="D1387" s="49">
        <v>44105</v>
      </c>
      <c r="E1387" s="50">
        <v>139.04</v>
      </c>
      <c r="F1387" s="50"/>
      <c r="G1387" s="50"/>
      <c r="H1387" s="50"/>
      <c r="I1387" s="50"/>
    </row>
    <row r="1388" spans="4:9">
      <c r="D1388" s="49">
        <v>44104</v>
      </c>
      <c r="E1388" s="50">
        <v>138.79</v>
      </c>
      <c r="F1388" s="50"/>
      <c r="G1388" s="50"/>
      <c r="H1388" s="50"/>
      <c r="I1388" s="50"/>
    </row>
    <row r="1389" spans="4:9">
      <c r="D1389" s="49">
        <v>44103</v>
      </c>
      <c r="E1389" s="50">
        <v>138.80000000000001</v>
      </c>
      <c r="F1389" s="50"/>
      <c r="G1389" s="50"/>
      <c r="H1389" s="50"/>
      <c r="I1389" s="50"/>
    </row>
    <row r="1390" spans="4:9">
      <c r="D1390" s="49">
        <v>44102</v>
      </c>
      <c r="E1390" s="50">
        <v>137.31</v>
      </c>
      <c r="F1390" s="50"/>
      <c r="G1390" s="50"/>
      <c r="H1390" s="50"/>
      <c r="I1390" s="50"/>
    </row>
    <row r="1391" spans="4:9">
      <c r="D1391" s="49">
        <v>44101</v>
      </c>
      <c r="E1391" s="50">
        <v>135.29</v>
      </c>
      <c r="F1391" s="50"/>
      <c r="G1391" s="50"/>
      <c r="H1391" s="50"/>
      <c r="I1391" s="50"/>
    </row>
    <row r="1392" spans="4:9">
      <c r="D1392" s="49">
        <v>44100</v>
      </c>
      <c r="E1392" s="50">
        <v>135.29</v>
      </c>
      <c r="F1392" s="50"/>
      <c r="G1392" s="50"/>
      <c r="H1392" s="50"/>
      <c r="I1392" s="50"/>
    </row>
    <row r="1393" spans="4:9">
      <c r="D1393" s="49">
        <v>44099</v>
      </c>
      <c r="E1393" s="50">
        <v>135.29</v>
      </c>
      <c r="F1393" s="50"/>
      <c r="G1393" s="50"/>
      <c r="H1393" s="50"/>
      <c r="I1393" s="50"/>
    </row>
    <row r="1394" spans="4:9">
      <c r="D1394" s="49">
        <v>44098</v>
      </c>
      <c r="E1394" s="50">
        <v>130.87</v>
      </c>
      <c r="F1394" s="50"/>
      <c r="G1394" s="50"/>
      <c r="H1394" s="50"/>
      <c r="I1394" s="50"/>
    </row>
    <row r="1395" spans="4:9">
      <c r="D1395" s="49">
        <v>44097</v>
      </c>
      <c r="E1395" s="50">
        <v>134.69</v>
      </c>
      <c r="F1395" s="50"/>
      <c r="G1395" s="50"/>
      <c r="H1395" s="50"/>
      <c r="I1395" s="50"/>
    </row>
    <row r="1396" spans="4:9">
      <c r="D1396" s="49">
        <v>44096</v>
      </c>
      <c r="E1396" s="50">
        <v>134.38999999999999</v>
      </c>
      <c r="F1396" s="50"/>
      <c r="G1396" s="50"/>
      <c r="H1396" s="50"/>
      <c r="I1396" s="50"/>
    </row>
    <row r="1397" spans="4:9">
      <c r="D1397" s="49">
        <v>44095</v>
      </c>
      <c r="E1397" s="50">
        <v>130.97999999999999</v>
      </c>
      <c r="F1397" s="50"/>
      <c r="G1397" s="50"/>
      <c r="H1397" s="50"/>
      <c r="I1397" s="50"/>
    </row>
    <row r="1398" spans="4:9">
      <c r="D1398" s="49">
        <v>44094</v>
      </c>
      <c r="E1398" s="50">
        <v>129.72</v>
      </c>
      <c r="F1398" s="50"/>
      <c r="G1398" s="50"/>
      <c r="H1398" s="50"/>
      <c r="I1398" s="50"/>
    </row>
    <row r="1399" spans="4:9">
      <c r="D1399" s="49">
        <v>44093</v>
      </c>
      <c r="E1399" s="50">
        <v>129.72</v>
      </c>
      <c r="F1399" s="50"/>
      <c r="G1399" s="50"/>
      <c r="H1399" s="50"/>
      <c r="I1399" s="50"/>
    </row>
    <row r="1400" spans="4:9">
      <c r="D1400" s="49">
        <v>44092</v>
      </c>
      <c r="E1400" s="50">
        <v>129.72</v>
      </c>
      <c r="F1400" s="50"/>
      <c r="G1400" s="50"/>
      <c r="H1400" s="50"/>
      <c r="I1400" s="50"/>
    </row>
    <row r="1401" spans="4:9">
      <c r="D1401" s="49">
        <v>44091</v>
      </c>
      <c r="E1401" s="50">
        <v>126.33</v>
      </c>
      <c r="F1401" s="50"/>
      <c r="G1401" s="50"/>
      <c r="H1401" s="50"/>
      <c r="I1401" s="50"/>
    </row>
    <row r="1402" spans="4:9">
      <c r="D1402" s="49">
        <v>44090</v>
      </c>
      <c r="E1402" s="50">
        <v>127.61</v>
      </c>
      <c r="F1402" s="50"/>
      <c r="G1402" s="50"/>
      <c r="H1402" s="50"/>
      <c r="I1402" s="50"/>
    </row>
    <row r="1403" spans="4:9">
      <c r="D1403" s="49">
        <v>44089</v>
      </c>
      <c r="E1403" s="50">
        <v>122.06</v>
      </c>
      <c r="F1403" s="50"/>
      <c r="G1403" s="50"/>
      <c r="H1403" s="50"/>
      <c r="I1403" s="50"/>
    </row>
    <row r="1404" spans="4:9">
      <c r="D1404" s="49">
        <v>44088</v>
      </c>
      <c r="E1404" s="50">
        <v>123.21</v>
      </c>
      <c r="F1404" s="50"/>
      <c r="G1404" s="50"/>
      <c r="H1404" s="50"/>
      <c r="I1404" s="50"/>
    </row>
    <row r="1405" spans="4:9">
      <c r="D1405" s="49">
        <v>44087</v>
      </c>
      <c r="E1405" s="50">
        <v>125.17</v>
      </c>
      <c r="F1405" s="50"/>
      <c r="G1405" s="50"/>
      <c r="H1405" s="50"/>
      <c r="I1405" s="50"/>
    </row>
    <row r="1406" spans="4:9">
      <c r="D1406" s="49">
        <v>44086</v>
      </c>
      <c r="E1406" s="50">
        <v>125.17</v>
      </c>
      <c r="F1406" s="50"/>
      <c r="G1406" s="50"/>
      <c r="H1406" s="50"/>
      <c r="I1406" s="50"/>
    </row>
    <row r="1407" spans="4:9">
      <c r="D1407" s="49">
        <v>44085</v>
      </c>
      <c r="E1407" s="50">
        <v>125.17</v>
      </c>
      <c r="F1407" s="50"/>
      <c r="G1407" s="50"/>
      <c r="H1407" s="50"/>
      <c r="I1407" s="50"/>
    </row>
    <row r="1408" spans="4:9">
      <c r="D1408" s="49">
        <v>44084</v>
      </c>
      <c r="E1408" s="50">
        <v>123.41</v>
      </c>
      <c r="F1408" s="50"/>
      <c r="G1408" s="50"/>
      <c r="H1408" s="50"/>
      <c r="I1408" s="50"/>
    </row>
    <row r="1409" spans="4:9">
      <c r="D1409" s="49">
        <v>44083</v>
      </c>
      <c r="E1409" s="50">
        <v>119.67</v>
      </c>
      <c r="F1409" s="50"/>
      <c r="G1409" s="50"/>
      <c r="H1409" s="50"/>
      <c r="I1409" s="50"/>
    </row>
    <row r="1410" spans="4:9">
      <c r="D1410" s="49">
        <v>44082</v>
      </c>
      <c r="E1410" s="50">
        <v>116.41</v>
      </c>
      <c r="F1410" s="50"/>
      <c r="G1410" s="50"/>
      <c r="H1410" s="50"/>
      <c r="I1410" s="50"/>
    </row>
    <row r="1411" spans="4:9">
      <c r="D1411" s="49">
        <v>44081</v>
      </c>
      <c r="E1411" s="50">
        <v>117.84</v>
      </c>
      <c r="F1411" s="50"/>
      <c r="G1411" s="50"/>
      <c r="H1411" s="50"/>
      <c r="I1411" s="50"/>
    </row>
    <row r="1412" spans="4:9">
      <c r="D1412" s="49">
        <v>44080</v>
      </c>
      <c r="E1412" s="50">
        <v>120</v>
      </c>
      <c r="F1412" s="50"/>
      <c r="G1412" s="50"/>
      <c r="H1412" s="50"/>
      <c r="I1412" s="50"/>
    </row>
    <row r="1413" spans="4:9">
      <c r="D1413" s="49">
        <v>44079</v>
      </c>
      <c r="E1413" s="50">
        <v>120</v>
      </c>
      <c r="F1413" s="50"/>
      <c r="G1413" s="50"/>
      <c r="H1413" s="50"/>
      <c r="I1413" s="50"/>
    </row>
    <row r="1414" spans="4:9">
      <c r="D1414" s="49">
        <v>44078</v>
      </c>
      <c r="E1414" s="50">
        <v>120</v>
      </c>
      <c r="F1414" s="50"/>
      <c r="G1414" s="50"/>
      <c r="H1414" s="50"/>
      <c r="I1414" s="50"/>
    </row>
    <row r="1415" spans="4:9">
      <c r="D1415" s="49">
        <v>44077</v>
      </c>
      <c r="E1415" s="50">
        <v>119.51</v>
      </c>
      <c r="F1415" s="50"/>
      <c r="G1415" s="50"/>
      <c r="H1415" s="50"/>
      <c r="I1415" s="50"/>
    </row>
    <row r="1416" spans="4:9">
      <c r="D1416" s="49">
        <v>44076</v>
      </c>
      <c r="E1416" s="50">
        <v>119.72</v>
      </c>
      <c r="F1416" s="50"/>
      <c r="G1416" s="50"/>
      <c r="H1416" s="50"/>
      <c r="I1416" s="50"/>
    </row>
    <row r="1417" spans="4:9">
      <c r="D1417" s="49">
        <v>44075</v>
      </c>
      <c r="E1417" s="50">
        <v>117.64</v>
      </c>
      <c r="F1417" s="50"/>
      <c r="G1417" s="50"/>
      <c r="H1417" s="50"/>
      <c r="I1417" s="50"/>
    </row>
    <row r="1418" spans="4:9">
      <c r="D1418" s="49">
        <v>44074</v>
      </c>
      <c r="E1418" s="50">
        <v>121.57</v>
      </c>
      <c r="F1418" s="50"/>
      <c r="G1418" s="50"/>
      <c r="H1418" s="50"/>
      <c r="I1418" s="50"/>
    </row>
    <row r="1419" spans="4:9">
      <c r="D1419" s="49">
        <v>44073</v>
      </c>
      <c r="E1419" s="50">
        <v>121.73</v>
      </c>
      <c r="F1419" s="50"/>
      <c r="G1419" s="50"/>
      <c r="H1419" s="50"/>
      <c r="I1419" s="50"/>
    </row>
    <row r="1420" spans="4:9">
      <c r="D1420" s="49">
        <v>44072</v>
      </c>
      <c r="E1420" s="50">
        <v>121.73</v>
      </c>
      <c r="F1420" s="50"/>
      <c r="G1420" s="50"/>
      <c r="H1420" s="50"/>
      <c r="I1420" s="50"/>
    </row>
    <row r="1421" spans="4:9">
      <c r="D1421" s="49">
        <v>44071</v>
      </c>
      <c r="E1421" s="50">
        <v>121.73</v>
      </c>
      <c r="F1421" s="50"/>
      <c r="G1421" s="50"/>
      <c r="H1421" s="50"/>
      <c r="I1421" s="50"/>
    </row>
    <row r="1422" spans="4:9">
      <c r="D1422" s="49">
        <v>44070</v>
      </c>
      <c r="E1422" s="50">
        <v>122.29</v>
      </c>
      <c r="F1422" s="50"/>
      <c r="G1422" s="50"/>
      <c r="H1422" s="50"/>
      <c r="I1422" s="50"/>
    </row>
    <row r="1423" spans="4:9">
      <c r="D1423" s="49">
        <v>44069</v>
      </c>
      <c r="E1423" s="50">
        <v>125.16</v>
      </c>
      <c r="F1423" s="50"/>
      <c r="G1423" s="50"/>
      <c r="H1423" s="50"/>
      <c r="I1423" s="50"/>
    </row>
    <row r="1424" spans="4:9">
      <c r="D1424" s="49">
        <v>44068</v>
      </c>
      <c r="E1424" s="50">
        <v>127.69</v>
      </c>
      <c r="F1424" s="50"/>
      <c r="G1424" s="50"/>
      <c r="H1424" s="50"/>
      <c r="I1424" s="50"/>
    </row>
    <row r="1425" spans="4:9">
      <c r="D1425" s="49">
        <v>44067</v>
      </c>
      <c r="E1425" s="50">
        <v>130.33000000000001</v>
      </c>
      <c r="F1425" s="50"/>
      <c r="G1425" s="50"/>
      <c r="H1425" s="50"/>
      <c r="I1425" s="50"/>
    </row>
    <row r="1426" spans="4:9">
      <c r="D1426" s="49">
        <v>44066</v>
      </c>
      <c r="E1426" s="50">
        <v>129.52000000000001</v>
      </c>
      <c r="F1426" s="50"/>
      <c r="G1426" s="50"/>
      <c r="H1426" s="50"/>
      <c r="I1426" s="50"/>
    </row>
    <row r="1427" spans="4:9">
      <c r="D1427" s="49">
        <v>44065</v>
      </c>
      <c r="E1427" s="50">
        <v>129.52000000000001</v>
      </c>
      <c r="F1427" s="50"/>
      <c r="G1427" s="50"/>
      <c r="H1427" s="50"/>
      <c r="I1427" s="50"/>
    </row>
    <row r="1428" spans="4:9">
      <c r="D1428" s="49">
        <v>44064</v>
      </c>
      <c r="E1428" s="50">
        <v>129.52000000000001</v>
      </c>
      <c r="F1428" s="50"/>
      <c r="G1428" s="50"/>
      <c r="H1428" s="50"/>
      <c r="I1428" s="50"/>
    </row>
    <row r="1429" spans="4:9">
      <c r="D1429" s="49">
        <v>44063</v>
      </c>
      <c r="E1429" s="50">
        <v>129.41999999999999</v>
      </c>
      <c r="F1429" s="50"/>
      <c r="G1429" s="50"/>
      <c r="H1429" s="50"/>
      <c r="I1429" s="50"/>
    </row>
    <row r="1430" spans="4:9">
      <c r="D1430" s="49">
        <v>44062</v>
      </c>
      <c r="E1430" s="50">
        <v>127.61</v>
      </c>
      <c r="F1430" s="50"/>
      <c r="G1430" s="50"/>
      <c r="H1430" s="50"/>
      <c r="I1430" s="50"/>
    </row>
    <row r="1431" spans="4:9">
      <c r="D1431" s="49">
        <v>44061</v>
      </c>
      <c r="E1431" s="50">
        <v>125.69</v>
      </c>
      <c r="F1431" s="50"/>
      <c r="G1431" s="50"/>
      <c r="H1431" s="50"/>
      <c r="I1431" s="50"/>
    </row>
    <row r="1432" spans="4:9">
      <c r="D1432" s="49">
        <v>44060</v>
      </c>
      <c r="E1432" s="50">
        <v>124.22</v>
      </c>
      <c r="F1432" s="50"/>
      <c r="G1432" s="50"/>
      <c r="H1432" s="50"/>
      <c r="I1432" s="50"/>
    </row>
    <row r="1433" spans="4:9">
      <c r="D1433" s="49">
        <v>44059</v>
      </c>
      <c r="E1433" s="50">
        <v>124.22</v>
      </c>
      <c r="F1433" s="50"/>
      <c r="G1433" s="50"/>
      <c r="H1433" s="50"/>
      <c r="I1433" s="50"/>
    </row>
    <row r="1434" spans="4:9">
      <c r="D1434" s="49">
        <v>44058</v>
      </c>
      <c r="E1434" s="50">
        <v>124.22</v>
      </c>
      <c r="F1434" s="50"/>
      <c r="G1434" s="50"/>
      <c r="H1434" s="50"/>
      <c r="I1434" s="50"/>
    </row>
    <row r="1435" spans="4:9">
      <c r="D1435" s="49">
        <v>44057</v>
      </c>
      <c r="E1435" s="50">
        <v>124.22</v>
      </c>
      <c r="F1435" s="50"/>
      <c r="G1435" s="50"/>
      <c r="H1435" s="50"/>
      <c r="I1435" s="50"/>
    </row>
    <row r="1436" spans="4:9">
      <c r="D1436" s="49">
        <v>44056</v>
      </c>
      <c r="E1436" s="50">
        <v>125.3</v>
      </c>
      <c r="F1436" s="50"/>
      <c r="G1436" s="50"/>
      <c r="H1436" s="50"/>
      <c r="I1436" s="50"/>
    </row>
    <row r="1437" spans="4:9">
      <c r="D1437" s="49">
        <v>44055</v>
      </c>
      <c r="E1437" s="50">
        <v>125.73</v>
      </c>
      <c r="F1437" s="50"/>
      <c r="G1437" s="50"/>
      <c r="H1437" s="50"/>
      <c r="I1437" s="50"/>
    </row>
    <row r="1438" spans="4:9">
      <c r="D1438" s="49">
        <v>44054</v>
      </c>
      <c r="E1438" s="50">
        <v>124.53</v>
      </c>
      <c r="F1438" s="50"/>
      <c r="G1438" s="50"/>
      <c r="H1438" s="50"/>
      <c r="I1438" s="50"/>
    </row>
    <row r="1439" spans="4:9">
      <c r="D1439" s="49">
        <v>44053</v>
      </c>
      <c r="E1439" s="50">
        <v>125.84</v>
      </c>
      <c r="F1439" s="50"/>
      <c r="G1439" s="50"/>
      <c r="H1439" s="50"/>
      <c r="I1439" s="50"/>
    </row>
    <row r="1440" spans="4:9">
      <c r="D1440" s="49">
        <v>44052</v>
      </c>
      <c r="E1440" s="50">
        <v>124.65</v>
      </c>
      <c r="F1440" s="50"/>
      <c r="G1440" s="50"/>
      <c r="H1440" s="50"/>
      <c r="I1440" s="50"/>
    </row>
    <row r="1441" spans="4:9">
      <c r="D1441" s="49">
        <v>44051</v>
      </c>
      <c r="E1441" s="50">
        <v>124.65</v>
      </c>
      <c r="F1441" s="50"/>
      <c r="G1441" s="50"/>
      <c r="H1441" s="50"/>
      <c r="I1441" s="50"/>
    </row>
    <row r="1442" spans="4:9">
      <c r="D1442" s="49">
        <v>44050</v>
      </c>
      <c r="E1442" s="50">
        <v>124.65</v>
      </c>
      <c r="F1442" s="50"/>
      <c r="G1442" s="50"/>
      <c r="H1442" s="50"/>
      <c r="I1442" s="50"/>
    </row>
    <row r="1443" spans="4:9">
      <c r="D1443" s="49">
        <v>44049</v>
      </c>
      <c r="E1443" s="50">
        <v>121.68</v>
      </c>
      <c r="F1443" s="50"/>
      <c r="G1443" s="50"/>
      <c r="H1443" s="50"/>
      <c r="I1443" s="50"/>
    </row>
    <row r="1444" spans="4:9">
      <c r="D1444" s="49">
        <v>44048</v>
      </c>
      <c r="E1444" s="50">
        <v>117.17</v>
      </c>
      <c r="F1444" s="50"/>
      <c r="G1444" s="50"/>
      <c r="H1444" s="50"/>
      <c r="I1444" s="50"/>
    </row>
    <row r="1445" spans="4:9">
      <c r="D1445" s="49">
        <v>44047</v>
      </c>
      <c r="E1445" s="50">
        <v>116.28</v>
      </c>
      <c r="F1445" s="50"/>
      <c r="G1445" s="50"/>
      <c r="H1445" s="50"/>
      <c r="I1445" s="50"/>
    </row>
    <row r="1446" spans="4:9">
      <c r="D1446" s="49">
        <v>44046</v>
      </c>
      <c r="E1446" s="50">
        <v>122</v>
      </c>
      <c r="F1446" s="50"/>
      <c r="G1446" s="50"/>
      <c r="H1446" s="50"/>
      <c r="I1446" s="50"/>
    </row>
    <row r="1447" spans="4:9">
      <c r="D1447" s="49">
        <v>44045</v>
      </c>
      <c r="E1447" s="50">
        <v>122.21</v>
      </c>
      <c r="F1447" s="50"/>
      <c r="G1447" s="50"/>
      <c r="H1447" s="50"/>
      <c r="I1447" s="50"/>
    </row>
    <row r="1448" spans="4:9">
      <c r="D1448" s="49">
        <v>44044</v>
      </c>
      <c r="E1448" s="50">
        <v>122.21</v>
      </c>
      <c r="F1448" s="50"/>
      <c r="G1448" s="50"/>
      <c r="H1448" s="50"/>
      <c r="I1448" s="50"/>
    </row>
    <row r="1449" spans="4:9">
      <c r="D1449" s="49">
        <v>44043</v>
      </c>
      <c r="E1449" s="50">
        <v>122.21</v>
      </c>
      <c r="F1449" s="50"/>
      <c r="G1449" s="50"/>
      <c r="H1449" s="50"/>
      <c r="I1449" s="50"/>
    </row>
    <row r="1450" spans="4:9">
      <c r="D1450" s="49">
        <v>44042</v>
      </c>
      <c r="E1450" s="50">
        <v>119.54</v>
      </c>
      <c r="F1450" s="50"/>
      <c r="G1450" s="50"/>
      <c r="H1450" s="50"/>
      <c r="I1450" s="50"/>
    </row>
    <row r="1451" spans="4:9">
      <c r="D1451" s="49">
        <v>44041</v>
      </c>
      <c r="E1451" s="50">
        <v>116.72</v>
      </c>
      <c r="F1451" s="50"/>
      <c r="G1451" s="50"/>
      <c r="H1451" s="50"/>
      <c r="I1451" s="50"/>
    </row>
    <row r="1452" spans="4:9">
      <c r="D1452" s="49">
        <v>44040</v>
      </c>
      <c r="E1452" s="50">
        <v>115.89</v>
      </c>
      <c r="F1452" s="50"/>
      <c r="G1452" s="50"/>
      <c r="H1452" s="50"/>
      <c r="I1452" s="50"/>
    </row>
    <row r="1453" spans="4:9">
      <c r="D1453" s="49">
        <v>44039</v>
      </c>
      <c r="E1453" s="50">
        <v>115.67</v>
      </c>
      <c r="F1453" s="50"/>
      <c r="G1453" s="50"/>
      <c r="H1453" s="50"/>
      <c r="I1453" s="50"/>
    </row>
    <row r="1454" spans="4:9">
      <c r="D1454" s="49">
        <v>44038</v>
      </c>
      <c r="E1454" s="50">
        <v>114.57</v>
      </c>
      <c r="F1454" s="50"/>
      <c r="G1454" s="50"/>
      <c r="H1454" s="50"/>
      <c r="I1454" s="50"/>
    </row>
    <row r="1455" spans="4:9">
      <c r="D1455" s="49">
        <v>44037</v>
      </c>
      <c r="E1455" s="50">
        <v>114.57</v>
      </c>
      <c r="F1455" s="50"/>
      <c r="G1455" s="50"/>
      <c r="H1455" s="50"/>
      <c r="I1455" s="50"/>
    </row>
    <row r="1456" spans="4:9">
      <c r="D1456" s="49">
        <v>44036</v>
      </c>
      <c r="E1456" s="50">
        <v>114.57</v>
      </c>
      <c r="F1456" s="50"/>
      <c r="G1456" s="50"/>
      <c r="H1456" s="50"/>
      <c r="I1456" s="50"/>
    </row>
    <row r="1457" spans="4:9">
      <c r="D1457" s="49">
        <v>44035</v>
      </c>
      <c r="E1457" s="50">
        <v>111.78</v>
      </c>
      <c r="F1457" s="50"/>
      <c r="G1457" s="50"/>
      <c r="H1457" s="50"/>
      <c r="I1457" s="50"/>
    </row>
    <row r="1458" spans="4:9">
      <c r="D1458" s="49">
        <v>44034</v>
      </c>
      <c r="E1458" s="50">
        <v>114.45</v>
      </c>
      <c r="F1458" s="50"/>
      <c r="G1458" s="50"/>
      <c r="H1458" s="50"/>
      <c r="I1458" s="50"/>
    </row>
    <row r="1459" spans="4:9">
      <c r="D1459" s="49">
        <v>44033</v>
      </c>
      <c r="E1459" s="50">
        <v>116.07</v>
      </c>
      <c r="F1459" s="50"/>
      <c r="G1459" s="50"/>
      <c r="H1459" s="50"/>
      <c r="I1459" s="50"/>
    </row>
    <row r="1460" spans="4:9">
      <c r="D1460" s="49">
        <v>44032</v>
      </c>
      <c r="E1460" s="50">
        <v>117.57</v>
      </c>
      <c r="F1460" s="50"/>
      <c r="G1460" s="50"/>
      <c r="H1460" s="50"/>
      <c r="I1460" s="50"/>
    </row>
    <row r="1461" spans="4:9">
      <c r="D1461" s="49">
        <v>44031</v>
      </c>
      <c r="E1461" s="50">
        <v>115.39</v>
      </c>
      <c r="F1461" s="50"/>
      <c r="G1461" s="50"/>
      <c r="H1461" s="50"/>
      <c r="I1461" s="50"/>
    </row>
    <row r="1462" spans="4:9">
      <c r="D1462" s="49">
        <v>44030</v>
      </c>
      <c r="E1462" s="50">
        <v>115.39</v>
      </c>
      <c r="F1462" s="50"/>
      <c r="G1462" s="50"/>
      <c r="H1462" s="50"/>
      <c r="I1462" s="50"/>
    </row>
    <row r="1463" spans="4:9">
      <c r="D1463" s="49">
        <v>44029</v>
      </c>
      <c r="E1463" s="50">
        <v>115.39</v>
      </c>
      <c r="F1463" s="50"/>
      <c r="G1463" s="50"/>
      <c r="H1463" s="50"/>
      <c r="I1463" s="50"/>
    </row>
    <row r="1464" spans="4:9">
      <c r="D1464" s="49">
        <v>44028</v>
      </c>
      <c r="E1464" s="50">
        <v>112</v>
      </c>
      <c r="F1464" s="50"/>
      <c r="G1464" s="50"/>
      <c r="H1464" s="50"/>
      <c r="I1464" s="50"/>
    </row>
    <row r="1465" spans="4:9">
      <c r="D1465" s="49">
        <v>44027</v>
      </c>
      <c r="E1465" s="50">
        <v>112.02</v>
      </c>
      <c r="F1465" s="50"/>
      <c r="G1465" s="50"/>
      <c r="H1465" s="50"/>
      <c r="I1465" s="50"/>
    </row>
    <row r="1466" spans="4:9">
      <c r="D1466" s="49">
        <v>44026</v>
      </c>
      <c r="E1466" s="50">
        <v>110.97</v>
      </c>
      <c r="F1466" s="50"/>
      <c r="G1466" s="50"/>
      <c r="H1466" s="50"/>
      <c r="I1466" s="50"/>
    </row>
    <row r="1467" spans="4:9">
      <c r="D1467" s="49">
        <v>44025</v>
      </c>
      <c r="E1467" s="50">
        <v>109.73</v>
      </c>
      <c r="F1467" s="50"/>
      <c r="G1467" s="50"/>
      <c r="H1467" s="50"/>
      <c r="I1467" s="50"/>
    </row>
    <row r="1468" spans="4:9">
      <c r="D1468" s="49">
        <v>44024</v>
      </c>
      <c r="E1468" s="50">
        <v>108.98</v>
      </c>
      <c r="F1468" s="50"/>
      <c r="G1468" s="50"/>
      <c r="H1468" s="50"/>
      <c r="I1468" s="50"/>
    </row>
    <row r="1469" spans="4:9">
      <c r="D1469" s="49">
        <v>44023</v>
      </c>
      <c r="E1469" s="50">
        <v>108.98</v>
      </c>
      <c r="F1469" s="50"/>
      <c r="G1469" s="50"/>
      <c r="H1469" s="50"/>
      <c r="I1469" s="50"/>
    </row>
    <row r="1470" spans="4:9">
      <c r="D1470" s="49">
        <v>44022</v>
      </c>
      <c r="E1470" s="50">
        <v>108.98</v>
      </c>
      <c r="F1470" s="50"/>
      <c r="G1470" s="50"/>
      <c r="H1470" s="50"/>
      <c r="I1470" s="50"/>
    </row>
    <row r="1471" spans="4:9">
      <c r="D1471" s="49">
        <v>44021</v>
      </c>
      <c r="E1471" s="50">
        <v>108.98</v>
      </c>
      <c r="F1471" s="50"/>
      <c r="G1471" s="50"/>
      <c r="H1471" s="50"/>
      <c r="I1471" s="50"/>
    </row>
    <row r="1472" spans="4:9">
      <c r="D1472" s="49">
        <v>44020</v>
      </c>
      <c r="E1472" s="50">
        <v>108.98</v>
      </c>
      <c r="F1472" s="50"/>
      <c r="G1472" s="50"/>
      <c r="H1472" s="50"/>
      <c r="I1472" s="50"/>
    </row>
    <row r="1473" spans="4:9">
      <c r="D1473" s="49">
        <v>44019</v>
      </c>
      <c r="E1473" s="50">
        <v>108.58</v>
      </c>
      <c r="F1473" s="50"/>
      <c r="G1473" s="50"/>
      <c r="H1473" s="50"/>
      <c r="I1473" s="50"/>
    </row>
    <row r="1474" spans="4:9">
      <c r="D1474" s="49">
        <v>44018</v>
      </c>
      <c r="E1474" s="50">
        <v>106.7</v>
      </c>
      <c r="F1474" s="50"/>
      <c r="G1474" s="50"/>
      <c r="H1474" s="50"/>
      <c r="I1474" s="50"/>
    </row>
    <row r="1475" spans="4:9">
      <c r="D1475" s="49">
        <v>44017</v>
      </c>
      <c r="E1475" s="50">
        <v>105.79</v>
      </c>
      <c r="F1475" s="50"/>
      <c r="G1475" s="50"/>
      <c r="H1475" s="50"/>
      <c r="I1475" s="50"/>
    </row>
    <row r="1476" spans="4:9">
      <c r="D1476" s="49">
        <v>44016</v>
      </c>
      <c r="E1476" s="50">
        <v>105.79</v>
      </c>
      <c r="F1476" s="50"/>
      <c r="G1476" s="50"/>
      <c r="H1476" s="50"/>
      <c r="I1476" s="50"/>
    </row>
    <row r="1477" spans="4:9">
      <c r="D1477" s="49">
        <v>44015</v>
      </c>
      <c r="E1477" s="50">
        <v>105.79</v>
      </c>
      <c r="F1477" s="50"/>
      <c r="G1477" s="50"/>
      <c r="H1477" s="50"/>
      <c r="I1477" s="50"/>
    </row>
    <row r="1478" spans="4:9">
      <c r="D1478" s="49">
        <v>44014</v>
      </c>
      <c r="E1478" s="50">
        <v>107.24</v>
      </c>
      <c r="F1478" s="50"/>
      <c r="G1478" s="50"/>
      <c r="H1478" s="50"/>
      <c r="I1478" s="50"/>
    </row>
    <row r="1479" spans="4:9">
      <c r="D1479" s="49">
        <v>44013</v>
      </c>
      <c r="E1479" s="50">
        <v>105.5</v>
      </c>
      <c r="F1479" s="50"/>
      <c r="G1479" s="50"/>
      <c r="H1479" s="50"/>
      <c r="I1479" s="50"/>
    </row>
    <row r="1480" spans="4:9">
      <c r="D1480" s="49">
        <v>44012</v>
      </c>
      <c r="E1480" s="50">
        <v>100.53</v>
      </c>
      <c r="F1480" s="50"/>
      <c r="G1480" s="50"/>
      <c r="H1480" s="50"/>
      <c r="I1480" s="50"/>
    </row>
    <row r="1481" spans="4:9">
      <c r="D1481" s="49">
        <v>44011</v>
      </c>
      <c r="E1481" s="50">
        <v>100.39</v>
      </c>
      <c r="F1481" s="50"/>
      <c r="G1481" s="50"/>
      <c r="H1481" s="50"/>
      <c r="I1481" s="50"/>
    </row>
    <row r="1482" spans="4:9">
      <c r="D1482" s="49">
        <v>44010</v>
      </c>
      <c r="E1482" s="50">
        <v>102.47</v>
      </c>
      <c r="F1482" s="50"/>
      <c r="G1482" s="50"/>
      <c r="H1482" s="50"/>
      <c r="I1482" s="50"/>
    </row>
    <row r="1483" spans="4:9">
      <c r="D1483" s="49">
        <v>44009</v>
      </c>
      <c r="E1483" s="50">
        <v>102.47</v>
      </c>
      <c r="F1483" s="50"/>
      <c r="G1483" s="50"/>
      <c r="H1483" s="50"/>
      <c r="I1483" s="50"/>
    </row>
    <row r="1484" spans="4:9">
      <c r="D1484" s="49">
        <v>44008</v>
      </c>
      <c r="E1484" s="50">
        <v>102.47</v>
      </c>
      <c r="F1484" s="50"/>
      <c r="G1484" s="50"/>
      <c r="H1484" s="50"/>
      <c r="I1484" s="50"/>
    </row>
    <row r="1485" spans="4:9">
      <c r="D1485" s="49">
        <v>44007</v>
      </c>
      <c r="E1485" s="50">
        <v>104.21</v>
      </c>
      <c r="F1485" s="50"/>
      <c r="G1485" s="50"/>
      <c r="H1485" s="50"/>
      <c r="I1485" s="50"/>
    </row>
    <row r="1486" spans="4:9">
      <c r="D1486" s="49">
        <v>44006</v>
      </c>
      <c r="E1486" s="50">
        <v>107.3</v>
      </c>
      <c r="F1486" s="50"/>
      <c r="G1486" s="50"/>
      <c r="H1486" s="50"/>
      <c r="I1486" s="50"/>
    </row>
    <row r="1487" spans="4:9">
      <c r="D1487" s="49">
        <v>44005</v>
      </c>
      <c r="E1487" s="50">
        <v>107.67</v>
      </c>
      <c r="F1487" s="50"/>
      <c r="G1487" s="50"/>
      <c r="H1487" s="50"/>
      <c r="I1487" s="50"/>
    </row>
    <row r="1488" spans="4:9">
      <c r="D1488" s="49">
        <v>44004</v>
      </c>
      <c r="E1488" s="50">
        <v>108.12</v>
      </c>
      <c r="F1488" s="50"/>
      <c r="G1488" s="50"/>
      <c r="H1488" s="50"/>
      <c r="I1488" s="50"/>
    </row>
    <row r="1489" spans="4:9">
      <c r="D1489" s="49">
        <v>44003</v>
      </c>
      <c r="E1489" s="50">
        <v>109.53</v>
      </c>
      <c r="F1489" s="50"/>
      <c r="G1489" s="50"/>
      <c r="H1489" s="50"/>
      <c r="I1489" s="50"/>
    </row>
    <row r="1490" spans="4:9">
      <c r="D1490" s="49">
        <v>44002</v>
      </c>
      <c r="E1490" s="50">
        <v>109.53</v>
      </c>
      <c r="F1490" s="50"/>
      <c r="G1490" s="50"/>
      <c r="H1490" s="50"/>
      <c r="I1490" s="50"/>
    </row>
    <row r="1491" spans="4:9">
      <c r="D1491" s="49">
        <v>44001</v>
      </c>
      <c r="E1491" s="50">
        <v>109.53</v>
      </c>
      <c r="F1491" s="50"/>
      <c r="G1491" s="50"/>
      <c r="H1491" s="50"/>
      <c r="I1491" s="50"/>
    </row>
    <row r="1492" spans="4:9">
      <c r="D1492" s="49">
        <v>44000</v>
      </c>
      <c r="E1492" s="50">
        <v>107.1</v>
      </c>
      <c r="F1492" s="50"/>
      <c r="G1492" s="50"/>
      <c r="H1492" s="50"/>
      <c r="I1492" s="50"/>
    </row>
    <row r="1493" spans="4:9">
      <c r="D1493" s="49">
        <v>43999</v>
      </c>
      <c r="E1493" s="50">
        <v>104.96</v>
      </c>
      <c r="F1493" s="50"/>
      <c r="G1493" s="50"/>
      <c r="H1493" s="50"/>
      <c r="I1493" s="50"/>
    </row>
    <row r="1494" spans="4:9">
      <c r="D1494" s="49">
        <v>43998</v>
      </c>
      <c r="E1494" s="50">
        <v>105.31</v>
      </c>
      <c r="F1494" s="50"/>
      <c r="G1494" s="50"/>
      <c r="H1494" s="50"/>
      <c r="I1494" s="50"/>
    </row>
    <row r="1495" spans="4:9">
      <c r="D1495" s="49">
        <v>43997</v>
      </c>
      <c r="E1495" s="50">
        <v>106.59</v>
      </c>
      <c r="F1495" s="50"/>
      <c r="G1495" s="50"/>
      <c r="H1495" s="50"/>
      <c r="I1495" s="50"/>
    </row>
    <row r="1496" spans="4:9">
      <c r="D1496" s="49">
        <v>43996</v>
      </c>
      <c r="E1496" s="50">
        <v>106.59</v>
      </c>
      <c r="F1496" s="50"/>
      <c r="G1496" s="50"/>
      <c r="H1496" s="50"/>
      <c r="I1496" s="50"/>
    </row>
    <row r="1497" spans="4:9">
      <c r="D1497" s="49">
        <v>43995</v>
      </c>
      <c r="E1497" s="50">
        <v>106.59</v>
      </c>
      <c r="F1497" s="50"/>
      <c r="G1497" s="50"/>
      <c r="H1497" s="50"/>
      <c r="I1497" s="50"/>
    </row>
    <row r="1498" spans="4:9">
      <c r="D1498" s="49">
        <v>43994</v>
      </c>
      <c r="E1498" s="50">
        <v>106.59</v>
      </c>
      <c r="F1498" s="50"/>
      <c r="G1498" s="50"/>
      <c r="H1498" s="50"/>
      <c r="I1498" s="50"/>
    </row>
    <row r="1499" spans="4:9">
      <c r="D1499" s="49">
        <v>43993</v>
      </c>
      <c r="E1499" s="50">
        <v>107.49</v>
      </c>
      <c r="F1499" s="50"/>
      <c r="G1499" s="50"/>
      <c r="H1499" s="50"/>
      <c r="I1499" s="50"/>
    </row>
    <row r="1500" spans="4:9">
      <c r="D1500" s="49">
        <v>43992</v>
      </c>
      <c r="E1500" s="50">
        <v>108.07</v>
      </c>
      <c r="F1500" s="50"/>
      <c r="G1500" s="50"/>
      <c r="H1500" s="50"/>
      <c r="I1500" s="50"/>
    </row>
    <row r="1501" spans="4:9">
      <c r="D1501" s="49">
        <v>43991</v>
      </c>
      <c r="E1501" s="50">
        <v>108.73</v>
      </c>
      <c r="F1501" s="50"/>
      <c r="G1501" s="50"/>
      <c r="H1501" s="50"/>
      <c r="I1501" s="50"/>
    </row>
    <row r="1502" spans="4:9">
      <c r="D1502" s="49">
        <v>43990</v>
      </c>
      <c r="E1502" s="50">
        <v>110</v>
      </c>
      <c r="F1502" s="50"/>
      <c r="G1502" s="50"/>
      <c r="H1502" s="50"/>
      <c r="I1502" s="50"/>
    </row>
    <row r="1503" spans="4:9">
      <c r="D1503" s="49">
        <v>43988</v>
      </c>
      <c r="E1503" s="50">
        <v>109.86</v>
      </c>
      <c r="F1503" s="50"/>
      <c r="G1503" s="50"/>
      <c r="H1503" s="50"/>
      <c r="I1503" s="50"/>
    </row>
    <row r="1504" spans="4:9">
      <c r="D1504" s="49">
        <v>43987</v>
      </c>
      <c r="E1504" s="50">
        <v>109.86</v>
      </c>
      <c r="F1504" s="50"/>
      <c r="G1504" s="50"/>
      <c r="H1504" s="50"/>
      <c r="I1504" s="50"/>
    </row>
    <row r="1505" spans="4:9">
      <c r="D1505" s="49">
        <v>43986</v>
      </c>
      <c r="E1505" s="50">
        <v>108.27</v>
      </c>
      <c r="F1505" s="50"/>
      <c r="G1505" s="50"/>
      <c r="H1505" s="50"/>
      <c r="I1505" s="50"/>
    </row>
    <row r="1506" spans="4:9">
      <c r="D1506" s="49">
        <v>43985</v>
      </c>
      <c r="E1506" s="50">
        <v>107.91</v>
      </c>
      <c r="F1506" s="50"/>
      <c r="G1506" s="50"/>
      <c r="H1506" s="50"/>
      <c r="I1506" s="50"/>
    </row>
    <row r="1507" spans="4:9">
      <c r="D1507" s="49">
        <v>43984</v>
      </c>
      <c r="E1507" s="50">
        <v>106.39</v>
      </c>
      <c r="F1507" s="50"/>
      <c r="G1507" s="50"/>
      <c r="H1507" s="50"/>
      <c r="I1507" s="50"/>
    </row>
    <row r="1508" spans="4:9">
      <c r="D1508" s="49">
        <v>43983</v>
      </c>
      <c r="E1508" s="50">
        <v>108.77</v>
      </c>
      <c r="F1508" s="50"/>
      <c r="G1508" s="50"/>
      <c r="H1508" s="50"/>
      <c r="I1508" s="50"/>
    </row>
    <row r="1509" spans="4:9">
      <c r="D1509" s="49">
        <v>43982</v>
      </c>
      <c r="E1509" s="50">
        <v>107.71</v>
      </c>
      <c r="F1509" s="50"/>
      <c r="G1509" s="50"/>
      <c r="H1509" s="50"/>
      <c r="I1509" s="50"/>
    </row>
    <row r="1510" spans="4:9">
      <c r="D1510" s="49">
        <v>43981</v>
      </c>
      <c r="E1510" s="50">
        <v>107.71</v>
      </c>
      <c r="F1510" s="50"/>
      <c r="G1510" s="50"/>
      <c r="H1510" s="50"/>
      <c r="I1510" s="50"/>
    </row>
    <row r="1511" spans="4:9">
      <c r="D1511" s="49">
        <v>43980</v>
      </c>
      <c r="E1511" s="50">
        <v>107.71</v>
      </c>
      <c r="F1511" s="50"/>
      <c r="G1511" s="50"/>
      <c r="H1511" s="50"/>
      <c r="I1511" s="50"/>
    </row>
    <row r="1512" spans="4:9">
      <c r="D1512" s="49">
        <v>43979</v>
      </c>
      <c r="E1512" s="50">
        <v>109.41</v>
      </c>
      <c r="F1512" s="50"/>
      <c r="G1512" s="50"/>
      <c r="H1512" s="50"/>
      <c r="I1512" s="50"/>
    </row>
    <row r="1513" spans="4:9">
      <c r="D1513" s="49">
        <v>43978</v>
      </c>
      <c r="E1513" s="50">
        <v>105.56</v>
      </c>
      <c r="F1513" s="50"/>
      <c r="G1513" s="50"/>
      <c r="H1513" s="50"/>
      <c r="I1513" s="50"/>
    </row>
    <row r="1514" spans="4:9">
      <c r="D1514" s="49">
        <v>43977</v>
      </c>
      <c r="E1514" s="50">
        <v>106.32</v>
      </c>
      <c r="F1514" s="50"/>
      <c r="G1514" s="50"/>
      <c r="H1514" s="50"/>
      <c r="I1514" s="50"/>
    </row>
    <row r="1515" spans="4:9">
      <c r="D1515" s="49">
        <v>43976</v>
      </c>
      <c r="E1515" s="50">
        <v>109.53</v>
      </c>
      <c r="F1515" s="50"/>
      <c r="G1515" s="50"/>
      <c r="H1515" s="50"/>
      <c r="I1515" s="50"/>
    </row>
    <row r="1516" spans="4:9">
      <c r="D1516" s="49">
        <v>43975</v>
      </c>
      <c r="E1516" s="50">
        <v>109.53</v>
      </c>
      <c r="F1516" s="50"/>
      <c r="G1516" s="50"/>
      <c r="H1516" s="50"/>
      <c r="I1516" s="50"/>
    </row>
    <row r="1517" spans="4:9">
      <c r="D1517" s="49">
        <v>43974</v>
      </c>
      <c r="E1517" s="50">
        <v>109.53</v>
      </c>
      <c r="F1517" s="50"/>
      <c r="G1517" s="50"/>
      <c r="H1517" s="50"/>
      <c r="I1517" s="50"/>
    </row>
    <row r="1518" spans="4:9">
      <c r="D1518" s="49">
        <v>43973</v>
      </c>
      <c r="E1518" s="50">
        <v>109.53</v>
      </c>
      <c r="F1518" s="50"/>
      <c r="G1518" s="50"/>
      <c r="H1518" s="50"/>
      <c r="I1518" s="50"/>
    </row>
    <row r="1519" spans="4:9">
      <c r="D1519" s="49">
        <v>43972</v>
      </c>
      <c r="E1519" s="50">
        <v>114.37</v>
      </c>
      <c r="F1519" s="50"/>
      <c r="G1519" s="50"/>
      <c r="H1519" s="50"/>
      <c r="I1519" s="50"/>
    </row>
    <row r="1520" spans="4:9">
      <c r="D1520" s="49">
        <v>43971</v>
      </c>
      <c r="E1520" s="50">
        <v>114.84</v>
      </c>
      <c r="F1520" s="50"/>
      <c r="G1520" s="50"/>
      <c r="H1520" s="50"/>
      <c r="I1520" s="50"/>
    </row>
    <row r="1521" spans="4:9">
      <c r="D1521" s="49">
        <v>43970</v>
      </c>
      <c r="E1521" s="50">
        <v>114.22</v>
      </c>
      <c r="F1521" s="50"/>
      <c r="G1521" s="50"/>
      <c r="H1521" s="50"/>
      <c r="I1521" s="50"/>
    </row>
    <row r="1522" spans="4:9">
      <c r="D1522" s="49">
        <v>43969</v>
      </c>
      <c r="E1522" s="50">
        <v>115.54</v>
      </c>
      <c r="F1522" s="50"/>
      <c r="G1522" s="50"/>
      <c r="H1522" s="50"/>
      <c r="I1522" s="50"/>
    </row>
    <row r="1523" spans="4:9">
      <c r="D1523" s="49">
        <v>43968</v>
      </c>
      <c r="E1523" s="50">
        <v>117.95</v>
      </c>
      <c r="F1523" s="50"/>
      <c r="G1523" s="50"/>
      <c r="H1523" s="50"/>
      <c r="I1523" s="50"/>
    </row>
    <row r="1524" spans="4:9">
      <c r="D1524" s="49">
        <v>43967</v>
      </c>
      <c r="E1524" s="50">
        <v>117.95</v>
      </c>
      <c r="F1524" s="50"/>
      <c r="G1524" s="50"/>
      <c r="H1524" s="50"/>
      <c r="I1524" s="50"/>
    </row>
    <row r="1525" spans="4:9">
      <c r="D1525" s="49">
        <v>43966</v>
      </c>
      <c r="E1525" s="50">
        <v>117.95</v>
      </c>
      <c r="F1525" s="50"/>
      <c r="G1525" s="50"/>
      <c r="H1525" s="50"/>
      <c r="I1525" s="50"/>
    </row>
    <row r="1526" spans="4:9">
      <c r="D1526" s="49">
        <v>43965</v>
      </c>
      <c r="E1526" s="50">
        <v>119.36</v>
      </c>
      <c r="F1526" s="50"/>
      <c r="G1526" s="50"/>
      <c r="H1526" s="50"/>
      <c r="I1526" s="50"/>
    </row>
    <row r="1527" spans="4:9">
      <c r="D1527" s="49">
        <v>43964</v>
      </c>
      <c r="E1527" s="50">
        <v>122.77</v>
      </c>
      <c r="F1527" s="50"/>
      <c r="G1527" s="50"/>
      <c r="H1527" s="50"/>
      <c r="I1527" s="50"/>
    </row>
    <row r="1528" spans="4:9">
      <c r="D1528" s="49">
        <v>43963</v>
      </c>
      <c r="E1528" s="50">
        <v>119.31</v>
      </c>
      <c r="F1528" s="50"/>
      <c r="G1528" s="50"/>
      <c r="H1528" s="50"/>
      <c r="I1528" s="50"/>
    </row>
    <row r="1529" spans="4:9">
      <c r="D1529" s="49">
        <v>43962</v>
      </c>
      <c r="E1529" s="50">
        <v>115.98</v>
      </c>
      <c r="F1529" s="50"/>
      <c r="G1529" s="50"/>
      <c r="H1529" s="50"/>
      <c r="I1529" s="50"/>
    </row>
    <row r="1530" spans="4:9">
      <c r="D1530" s="49">
        <v>43961</v>
      </c>
      <c r="E1530" s="50">
        <v>112.98</v>
      </c>
      <c r="F1530" s="50"/>
      <c r="G1530" s="50"/>
      <c r="H1530" s="50"/>
      <c r="I1530" s="50"/>
    </row>
    <row r="1531" spans="4:9">
      <c r="D1531" s="49">
        <v>43960</v>
      </c>
      <c r="E1531" s="50">
        <v>112.98</v>
      </c>
      <c r="F1531" s="50"/>
      <c r="G1531" s="50"/>
      <c r="H1531" s="50"/>
      <c r="I1531" s="50"/>
    </row>
    <row r="1532" spans="4:9">
      <c r="D1532" s="49">
        <v>43959</v>
      </c>
      <c r="E1532" s="50">
        <v>112.98</v>
      </c>
      <c r="F1532" s="50"/>
      <c r="G1532" s="50"/>
      <c r="H1532" s="50"/>
      <c r="I1532" s="50"/>
    </row>
    <row r="1533" spans="4:9">
      <c r="D1533" s="49">
        <v>43958</v>
      </c>
      <c r="E1533" s="50">
        <v>115.77</v>
      </c>
      <c r="F1533" s="50"/>
      <c r="G1533" s="50"/>
      <c r="H1533" s="50"/>
      <c r="I1533" s="50"/>
    </row>
    <row r="1534" spans="4:9">
      <c r="D1534" s="49">
        <v>43957</v>
      </c>
      <c r="E1534" s="50">
        <v>115.88</v>
      </c>
      <c r="F1534" s="50"/>
      <c r="G1534" s="50"/>
      <c r="H1534" s="50"/>
      <c r="I1534" s="50"/>
    </row>
    <row r="1535" spans="4:9">
      <c r="D1535" s="49">
        <v>43956</v>
      </c>
      <c r="E1535" s="50">
        <v>117.08</v>
      </c>
      <c r="F1535" s="50"/>
      <c r="G1535" s="50"/>
      <c r="H1535" s="50"/>
      <c r="I1535" s="50"/>
    </row>
    <row r="1536" spans="4:9">
      <c r="D1536" s="49">
        <v>43955</v>
      </c>
      <c r="E1536" s="50">
        <v>110.19</v>
      </c>
      <c r="F1536" s="50"/>
      <c r="G1536" s="50"/>
      <c r="H1536" s="50"/>
      <c r="I1536" s="50"/>
    </row>
    <row r="1537" spans="4:9">
      <c r="D1537" s="49">
        <v>43954</v>
      </c>
      <c r="E1537" s="50">
        <v>112.31</v>
      </c>
      <c r="F1537" s="50"/>
      <c r="G1537" s="50"/>
      <c r="H1537" s="50"/>
      <c r="I1537" s="50"/>
    </row>
    <row r="1538" spans="4:9">
      <c r="D1538" s="49">
        <v>43953</v>
      </c>
      <c r="E1538" s="50">
        <v>112.31</v>
      </c>
      <c r="F1538" s="50"/>
      <c r="G1538" s="50"/>
      <c r="H1538" s="50"/>
      <c r="I1538" s="50"/>
    </row>
    <row r="1539" spans="4:9">
      <c r="D1539" s="49">
        <v>43952</v>
      </c>
      <c r="E1539" s="50">
        <v>112.31</v>
      </c>
      <c r="F1539" s="50"/>
      <c r="G1539" s="50"/>
      <c r="H1539" s="50"/>
      <c r="I1539" s="50"/>
    </row>
    <row r="1540" spans="4:9">
      <c r="D1540" s="49">
        <v>43951</v>
      </c>
      <c r="E1540" s="50">
        <v>112.31</v>
      </c>
      <c r="F1540" s="50"/>
      <c r="G1540" s="50"/>
      <c r="H1540" s="50"/>
      <c r="I1540" s="50"/>
    </row>
    <row r="1541" spans="4:9">
      <c r="D1541" s="49">
        <v>43950</v>
      </c>
      <c r="E1541" s="50">
        <v>108.87</v>
      </c>
      <c r="F1541" s="50"/>
      <c r="G1541" s="50"/>
      <c r="H1541" s="50"/>
      <c r="I1541" s="50"/>
    </row>
    <row r="1542" spans="4:9">
      <c r="D1542" s="49">
        <v>43949</v>
      </c>
      <c r="E1542" s="50">
        <v>116.95</v>
      </c>
      <c r="F1542" s="50"/>
      <c r="G1542" s="50"/>
      <c r="H1542" s="50"/>
      <c r="I1542" s="50"/>
    </row>
    <row r="1543" spans="4:9">
      <c r="D1543" s="49">
        <v>43948</v>
      </c>
      <c r="E1543" s="50">
        <v>112.92</v>
      </c>
      <c r="F1543" s="50"/>
      <c r="G1543" s="50"/>
      <c r="H1543" s="50"/>
      <c r="I1543" s="50"/>
    </row>
    <row r="1544" spans="4:9">
      <c r="D1544" s="49">
        <v>43947</v>
      </c>
      <c r="E1544" s="50">
        <v>108.35</v>
      </c>
      <c r="F1544" s="50"/>
      <c r="G1544" s="50"/>
      <c r="H1544" s="50"/>
      <c r="I1544" s="50"/>
    </row>
    <row r="1545" spans="4:9">
      <c r="D1545" s="49">
        <v>43946</v>
      </c>
      <c r="E1545" s="50">
        <v>108.35</v>
      </c>
      <c r="F1545" s="50"/>
      <c r="G1545" s="50"/>
      <c r="H1545" s="50"/>
      <c r="I1545" s="50"/>
    </row>
    <row r="1546" spans="4:9">
      <c r="D1546" s="49">
        <v>43945</v>
      </c>
      <c r="E1546" s="50">
        <v>108.35</v>
      </c>
      <c r="F1546" s="50"/>
      <c r="G1546" s="50"/>
      <c r="H1546" s="50"/>
      <c r="I1546" s="50"/>
    </row>
    <row r="1547" spans="4:9">
      <c r="D1547" s="49">
        <v>43944</v>
      </c>
      <c r="E1547" s="50">
        <v>110.05</v>
      </c>
      <c r="F1547" s="50"/>
      <c r="G1547" s="50"/>
      <c r="H1547" s="50"/>
      <c r="I1547" s="50"/>
    </row>
    <row r="1548" spans="4:9">
      <c r="D1548" s="49">
        <v>43943</v>
      </c>
      <c r="E1548" s="50">
        <v>109.18</v>
      </c>
      <c r="F1548" s="50"/>
      <c r="G1548" s="50"/>
      <c r="H1548" s="50"/>
      <c r="I1548" s="50"/>
    </row>
    <row r="1549" spans="4:9">
      <c r="D1549" s="49">
        <v>43942</v>
      </c>
      <c r="E1549" s="50">
        <v>108.43</v>
      </c>
      <c r="F1549" s="50"/>
      <c r="G1549" s="50"/>
      <c r="H1549" s="50"/>
      <c r="I1549" s="50"/>
    </row>
    <row r="1550" spans="4:9">
      <c r="D1550" s="49">
        <v>43941</v>
      </c>
      <c r="E1550" s="50">
        <v>104.23</v>
      </c>
      <c r="F1550" s="50"/>
      <c r="G1550" s="50"/>
      <c r="H1550" s="50"/>
      <c r="I1550" s="50"/>
    </row>
    <row r="1551" spans="4:9">
      <c r="D1551" s="49">
        <v>43940</v>
      </c>
      <c r="E1551" s="50">
        <v>99.84</v>
      </c>
      <c r="F1551" s="50"/>
      <c r="G1551" s="50"/>
      <c r="H1551" s="50"/>
      <c r="I1551" s="50"/>
    </row>
    <row r="1552" spans="4:9">
      <c r="D1552" s="49">
        <v>43939</v>
      </c>
      <c r="E1552" s="50">
        <v>99.84</v>
      </c>
      <c r="F1552" s="50"/>
      <c r="G1552" s="50"/>
      <c r="H1552" s="50"/>
      <c r="I1552" s="50"/>
    </row>
    <row r="1553" spans="4:9">
      <c r="D1553" s="49">
        <v>43938</v>
      </c>
      <c r="E1553" s="50">
        <v>99.84</v>
      </c>
      <c r="F1553" s="50"/>
      <c r="G1553" s="50"/>
      <c r="H1553" s="50"/>
      <c r="I1553" s="50"/>
    </row>
    <row r="1554" spans="4:9">
      <c r="D1554" s="49">
        <v>43937</v>
      </c>
      <c r="E1554" s="50">
        <v>103.37</v>
      </c>
      <c r="F1554" s="50"/>
      <c r="G1554" s="50"/>
      <c r="H1554" s="50"/>
      <c r="I1554" s="50"/>
    </row>
    <row r="1555" spans="4:9">
      <c r="D1555" s="49">
        <v>43936</v>
      </c>
      <c r="E1555" s="50">
        <v>108.32</v>
      </c>
      <c r="F1555" s="50"/>
      <c r="G1555" s="50"/>
      <c r="H1555" s="50"/>
      <c r="I1555" s="50"/>
    </row>
    <row r="1556" spans="4:9">
      <c r="D1556" s="49">
        <v>43935</v>
      </c>
      <c r="E1556" s="50">
        <v>106.26</v>
      </c>
      <c r="F1556" s="50"/>
      <c r="G1556" s="50"/>
      <c r="H1556" s="50"/>
      <c r="I1556" s="50"/>
    </row>
    <row r="1557" spans="4:9">
      <c r="D1557" s="49">
        <v>43934</v>
      </c>
      <c r="E1557" s="50">
        <v>101.09</v>
      </c>
      <c r="F1557" s="50"/>
      <c r="G1557" s="50"/>
      <c r="H1557" s="50"/>
      <c r="I1557" s="50"/>
    </row>
    <row r="1558" spans="4:9">
      <c r="D1558" s="49">
        <v>43933</v>
      </c>
      <c r="E1558" s="50">
        <v>94.27</v>
      </c>
      <c r="F1558" s="50"/>
      <c r="G1558" s="50"/>
      <c r="H1558" s="50"/>
      <c r="I1558" s="50"/>
    </row>
    <row r="1559" spans="4:9">
      <c r="D1559" s="49">
        <v>43932</v>
      </c>
      <c r="E1559" s="50">
        <v>94.27</v>
      </c>
      <c r="F1559" s="50"/>
      <c r="G1559" s="50"/>
      <c r="H1559" s="50"/>
      <c r="I1559" s="50"/>
    </row>
    <row r="1560" spans="4:9">
      <c r="D1560" s="49">
        <v>43931</v>
      </c>
      <c r="E1560" s="50">
        <v>94.27</v>
      </c>
      <c r="F1560" s="50"/>
      <c r="G1560" s="50"/>
      <c r="H1560" s="50"/>
      <c r="I1560" s="50"/>
    </row>
    <row r="1561" spans="4:9">
      <c r="D1561" s="49">
        <v>43930</v>
      </c>
      <c r="E1561" s="50">
        <v>94.27</v>
      </c>
      <c r="F1561" s="50"/>
      <c r="G1561" s="50"/>
      <c r="H1561" s="50"/>
      <c r="I1561" s="50"/>
    </row>
    <row r="1562" spans="4:9">
      <c r="D1562" s="49">
        <v>43929</v>
      </c>
      <c r="E1562" s="50">
        <v>94.27</v>
      </c>
      <c r="F1562" s="50"/>
      <c r="G1562" s="50"/>
      <c r="H1562" s="50"/>
      <c r="I1562" s="50"/>
    </row>
    <row r="1563" spans="4:9">
      <c r="D1563" s="49">
        <v>43928</v>
      </c>
      <c r="E1563" s="50">
        <v>90.44</v>
      </c>
      <c r="F1563" s="50"/>
      <c r="G1563" s="50"/>
      <c r="H1563" s="50"/>
      <c r="I1563" s="50"/>
    </row>
    <row r="1564" spans="4:9">
      <c r="D1564" s="49">
        <v>43927</v>
      </c>
      <c r="E1564" s="50">
        <v>89.57</v>
      </c>
      <c r="F1564" s="50"/>
      <c r="G1564" s="50"/>
      <c r="H1564" s="50"/>
      <c r="I1564" s="50"/>
    </row>
    <row r="1565" spans="4:9">
      <c r="D1565" s="49">
        <v>43926</v>
      </c>
      <c r="E1565" s="50">
        <v>88.42</v>
      </c>
      <c r="F1565" s="50"/>
      <c r="G1565" s="50"/>
      <c r="H1565" s="50"/>
      <c r="I1565" s="50"/>
    </row>
    <row r="1566" spans="4:9">
      <c r="D1566" s="49">
        <v>43925</v>
      </c>
      <c r="E1566" s="50">
        <v>88.42</v>
      </c>
      <c r="F1566" s="50"/>
      <c r="G1566" s="50"/>
      <c r="H1566" s="50"/>
      <c r="I1566" s="50"/>
    </row>
    <row r="1567" spans="4:9">
      <c r="D1567" s="49">
        <v>43924</v>
      </c>
      <c r="E1567" s="50">
        <v>88.42</v>
      </c>
      <c r="F1567" s="50"/>
      <c r="G1567" s="50"/>
      <c r="H1567" s="50"/>
      <c r="I1567" s="50"/>
    </row>
    <row r="1568" spans="4:9">
      <c r="D1568" s="49">
        <v>43923</v>
      </c>
      <c r="E1568" s="50">
        <v>87.78</v>
      </c>
      <c r="F1568" s="50"/>
      <c r="G1568" s="50"/>
      <c r="H1568" s="50"/>
      <c r="I1568" s="50"/>
    </row>
    <row r="1569" spans="4:9">
      <c r="D1569" s="49">
        <v>43922</v>
      </c>
      <c r="E1569" s="50">
        <v>87.88</v>
      </c>
      <c r="F1569" s="50"/>
      <c r="G1569" s="50"/>
      <c r="H1569" s="50"/>
      <c r="I1569" s="50"/>
    </row>
    <row r="1570" spans="4:9">
      <c r="D1570" s="49">
        <v>43921</v>
      </c>
      <c r="E1570" s="50">
        <v>85.96</v>
      </c>
      <c r="F1570" s="50"/>
      <c r="G1570" s="50"/>
      <c r="H1570" s="50"/>
      <c r="I1570" s="50"/>
    </row>
    <row r="1571" spans="4:9">
      <c r="D1571" s="49">
        <v>43920</v>
      </c>
      <c r="E1571" s="50">
        <v>85.96</v>
      </c>
      <c r="F1571" s="50"/>
      <c r="G1571" s="50"/>
      <c r="H1571" s="50"/>
      <c r="I1571" s="50"/>
    </row>
    <row r="1572" spans="4:9">
      <c r="D1572" s="49">
        <v>43919</v>
      </c>
      <c r="E1572" s="50">
        <v>85.42</v>
      </c>
      <c r="F1572" s="50"/>
      <c r="G1572" s="50"/>
      <c r="H1572" s="50"/>
      <c r="I1572" s="50"/>
    </row>
    <row r="1573" spans="4:9">
      <c r="D1573" s="49">
        <v>43918</v>
      </c>
      <c r="E1573" s="50">
        <v>85.42</v>
      </c>
      <c r="F1573" s="50"/>
      <c r="G1573" s="50"/>
      <c r="H1573" s="50"/>
      <c r="I1573" s="50"/>
    </row>
    <row r="1574" spans="4:9">
      <c r="D1574" s="49">
        <v>43917</v>
      </c>
      <c r="E1574" s="50">
        <v>85.42</v>
      </c>
      <c r="F1574" s="50"/>
      <c r="G1574" s="50"/>
      <c r="H1574" s="50"/>
      <c r="I1574" s="50"/>
    </row>
    <row r="1575" spans="4:9">
      <c r="D1575" s="49">
        <v>43916</v>
      </c>
      <c r="E1575" s="50">
        <v>83.2</v>
      </c>
      <c r="F1575" s="50"/>
      <c r="G1575" s="50"/>
      <c r="H1575" s="50"/>
      <c r="I1575" s="50"/>
    </row>
    <row r="1576" spans="4:9">
      <c r="D1576" s="49">
        <v>43915</v>
      </c>
      <c r="E1576" s="50">
        <v>86.79</v>
      </c>
      <c r="F1576" s="50"/>
      <c r="G1576" s="50"/>
      <c r="H1576" s="50"/>
      <c r="I1576" s="50"/>
    </row>
    <row r="1577" spans="4:9">
      <c r="D1577" s="49">
        <v>43914</v>
      </c>
      <c r="E1577" s="50">
        <v>91.4</v>
      </c>
      <c r="F1577" s="50"/>
      <c r="G1577" s="50"/>
      <c r="H1577" s="50"/>
      <c r="I1577" s="50"/>
    </row>
    <row r="1578" spans="4:9">
      <c r="D1578" s="49">
        <v>43913</v>
      </c>
      <c r="E1578" s="50">
        <v>91.4</v>
      </c>
      <c r="F1578" s="50"/>
      <c r="G1578" s="50"/>
      <c r="H1578" s="50"/>
      <c r="I1578" s="50"/>
    </row>
    <row r="1579" spans="4:9">
      <c r="D1579" s="49">
        <v>43912</v>
      </c>
      <c r="E1579" s="50">
        <v>91.4</v>
      </c>
      <c r="F1579" s="50"/>
      <c r="G1579" s="50"/>
      <c r="H1579" s="50"/>
      <c r="I1579" s="50"/>
    </row>
    <row r="1580" spans="4:9">
      <c r="D1580" s="49">
        <v>43911</v>
      </c>
      <c r="E1580" s="50">
        <v>91.4</v>
      </c>
      <c r="F1580" s="50"/>
      <c r="G1580" s="50"/>
      <c r="H1580" s="50"/>
      <c r="I1580" s="50"/>
    </row>
    <row r="1581" spans="4:9">
      <c r="D1581" s="49">
        <v>43910</v>
      </c>
      <c r="E1581" s="50">
        <v>91.4</v>
      </c>
      <c r="F1581" s="50"/>
      <c r="G1581" s="50"/>
      <c r="H1581" s="50"/>
      <c r="I1581" s="5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05D20-8986-4DBE-BA47-129142739AEF}">
  <dimension ref="A9:W255"/>
  <sheetViews>
    <sheetView zoomScale="66" zoomScaleNormal="66" workbookViewId="0">
      <selection activeCell="L7" sqref="L7"/>
    </sheetView>
  </sheetViews>
  <sheetFormatPr baseColWidth="10" defaultRowHeight="14.25"/>
  <cols>
    <col min="4" max="4" width="10.75" customWidth="1"/>
    <col min="16" max="19" width="13.625" bestFit="1" customWidth="1"/>
  </cols>
  <sheetData>
    <row r="9" spans="1:11">
      <c r="A9" t="s">
        <v>117</v>
      </c>
      <c r="B9" t="s">
        <v>137</v>
      </c>
      <c r="C9" t="s">
        <v>138</v>
      </c>
      <c r="D9" t="s">
        <v>139</v>
      </c>
      <c r="E9" t="s">
        <v>140</v>
      </c>
      <c r="F9" t="s">
        <v>119</v>
      </c>
      <c r="G9" t="s">
        <v>141</v>
      </c>
      <c r="H9" t="s">
        <v>142</v>
      </c>
      <c r="I9" t="s">
        <v>143</v>
      </c>
      <c r="J9" t="s">
        <v>144</v>
      </c>
      <c r="K9" t="s">
        <v>123</v>
      </c>
    </row>
    <row r="10" spans="1:11">
      <c r="A10" s="174">
        <v>45814</v>
      </c>
      <c r="B10">
        <v>48.2</v>
      </c>
      <c r="C10" s="60">
        <f>VLOOKUP(Tabla1[[#This Row],[Fecha]],[1]Base!$K$5:$L$249,2,FALSE)</f>
        <v>2156778.5</v>
      </c>
      <c r="D10" s="56">
        <f t="shared" ref="D10:E73" si="0">LN(B10/B11)</f>
        <v>9.3799541298154095E-3</v>
      </c>
      <c r="E10" s="56">
        <f t="shared" si="0"/>
        <v>1.5241126204028755E-2</v>
      </c>
      <c r="F10">
        <v>1192.4000000000001</v>
      </c>
      <c r="G10" s="61">
        <f t="shared" ref="G10:G73" si="1">B10/F10</f>
        <v>4.0422676954042266E-2</v>
      </c>
      <c r="H10" s="62">
        <f>Tabla1[[#This Row],[Merval $]]/F10</f>
        <v>1808.7709661187519</v>
      </c>
      <c r="I10" s="63">
        <f>LN(G10/G11)</f>
        <v>9.3631810941470633E-3</v>
      </c>
      <c r="J10" s="63">
        <f>LN(H10/H11)</f>
        <v>1.5224353168360249E-2</v>
      </c>
      <c r="K10" s="64">
        <f>VLOOKUP(Tabla1[[#This Row],[Fecha]],[1]Base!$N$5:$O$263,2,FALSE)</f>
        <v>688</v>
      </c>
    </row>
    <row r="11" spans="1:11">
      <c r="A11" s="174">
        <v>45813</v>
      </c>
      <c r="B11">
        <v>47.75</v>
      </c>
      <c r="C11" s="60">
        <f>VLOOKUP(Tabla1[[#This Row],[Fecha]],[1]Base!$K$5:$L$249,2,FALSE)</f>
        <v>2124156</v>
      </c>
      <c r="D11" s="56">
        <f t="shared" si="0"/>
        <v>-2.5841231183887328E-2</v>
      </c>
      <c r="E11" s="56">
        <f t="shared" si="0"/>
        <v>-1.2981435620423244E-3</v>
      </c>
      <c r="F11">
        <f>VLOOKUP(A11,[1]Base!$A$5:$B$265, 2, FALSE)</f>
        <v>1192.3800000000001</v>
      </c>
      <c r="G11" s="61">
        <f t="shared" si="1"/>
        <v>4.0045958503161741E-2</v>
      </c>
      <c r="H11" s="62">
        <f>Tabla1[[#This Row],[Merval $]]/F11</f>
        <v>1781.4421577014039</v>
      </c>
      <c r="I11" s="63">
        <f t="shared" ref="I11:J74" si="2">LN(G11/G12)</f>
        <v>-2.5137005802670694E-2</v>
      </c>
      <c r="J11" s="63">
        <f t="shared" si="2"/>
        <v>-5.9391818082559357E-4</v>
      </c>
      <c r="K11" s="64">
        <f>VLOOKUP(Tabla1[[#This Row],[Fecha]],[1]Base!$N$5:$O$263,2,FALSE)</f>
        <v>688</v>
      </c>
    </row>
    <row r="12" spans="1:11">
      <c r="A12" s="174">
        <v>45812</v>
      </c>
      <c r="B12">
        <v>49</v>
      </c>
      <c r="C12" s="60">
        <f>VLOOKUP(Tabla1[[#This Row],[Fecha]],[1]Base!$K$5:$L$249,2,FALSE)</f>
        <v>2126915.25</v>
      </c>
      <c r="D12" s="56">
        <f t="shared" si="0"/>
        <v>-5.5569851154810765E-2</v>
      </c>
      <c r="E12" s="56">
        <f t="shared" si="0"/>
        <v>-4.4921515180088863E-2</v>
      </c>
      <c r="F12">
        <f>VLOOKUP(A12,[1]Base!$A$5:$B$265, 2, FALSE)</f>
        <v>1193.22</v>
      </c>
      <c r="G12" s="61">
        <f t="shared" si="1"/>
        <v>4.1065352575384254E-2</v>
      </c>
      <c r="H12" s="62">
        <f>Tabla1[[#This Row],[Merval $]]/F12</f>
        <v>1782.5005028410519</v>
      </c>
      <c r="I12" s="63">
        <f t="shared" si="2"/>
        <v>-5.8549428580854587E-2</v>
      </c>
      <c r="J12" s="63">
        <f t="shared" si="2"/>
        <v>-4.7901092606132858E-2</v>
      </c>
      <c r="K12" s="64">
        <f>VLOOKUP(Tabla1[[#This Row],[Fecha]],[1]Base!$N$5:$O$263,2,FALSE)</f>
        <v>688</v>
      </c>
    </row>
    <row r="13" spans="1:11">
      <c r="A13" s="174">
        <v>45811</v>
      </c>
      <c r="B13">
        <v>51.8</v>
      </c>
      <c r="C13" s="60">
        <f>VLOOKUP(Tabla1[[#This Row],[Fecha]],[1]Base!$K$5:$L$249,2,FALSE)</f>
        <v>2224638</v>
      </c>
      <c r="D13" s="56">
        <f t="shared" si="0"/>
        <v>5.3531114464962358E-2</v>
      </c>
      <c r="E13" s="56">
        <f t="shared" si="0"/>
        <v>8.2812673439197747E-3</v>
      </c>
      <c r="F13">
        <f>VLOOKUP(A13,[1]Base!$A$5:$B$265, 2, FALSE)</f>
        <v>1189.67</v>
      </c>
      <c r="G13" s="61">
        <f t="shared" si="1"/>
        <v>4.3541486294518643E-2</v>
      </c>
      <c r="H13" s="62">
        <f>Tabla1[[#This Row],[Merval $]]/F13</f>
        <v>1869.9622584414165</v>
      </c>
      <c r="I13" s="63">
        <f t="shared" si="2"/>
        <v>4.8567865109714156E-2</v>
      </c>
      <c r="J13" s="63">
        <f t="shared" si="2"/>
        <v>3.3180179886715703E-3</v>
      </c>
      <c r="K13" s="64">
        <f>VLOOKUP(Tabla1[[#This Row],[Fecha]],[1]Base!$N$5:$O$263,2,FALSE)</f>
        <v>668</v>
      </c>
    </row>
    <row r="14" spans="1:11">
      <c r="A14" s="174">
        <v>45810</v>
      </c>
      <c r="B14">
        <v>49.1</v>
      </c>
      <c r="C14" s="60">
        <f>VLOOKUP(Tabla1[[#This Row],[Fecha]],[1]Base!$K$5:$L$249,2,FALSE)</f>
        <v>2206291.25</v>
      </c>
      <c r="D14" s="56">
        <f t="shared" si="0"/>
        <v>-4.5779137660644481E-2</v>
      </c>
      <c r="E14" s="56">
        <f t="shared" si="0"/>
        <v>-3.2420082142042415E-2</v>
      </c>
      <c r="F14">
        <f>VLOOKUP(A14,[1]Base!$A$5:$B$265, 2, FALSE)</f>
        <v>1183.78</v>
      </c>
      <c r="G14" s="61">
        <f t="shared" si="1"/>
        <v>4.1477301525621318E-2</v>
      </c>
      <c r="H14" s="62">
        <f>Tabla1[[#This Row],[Merval $]]/F14</f>
        <v>1863.7679720894087</v>
      </c>
      <c r="I14" s="63">
        <f t="shared" si="2"/>
        <v>-3.9094204325549664E-2</v>
      </c>
      <c r="J14" s="63">
        <f t="shared" si="2"/>
        <v>-2.5735148806947543E-2</v>
      </c>
      <c r="K14" s="64" t="e">
        <f>VLOOKUP(Tabla1[[#This Row],[Fecha]],[1]Base!$N$5:$O$263,2,FALSE)</f>
        <v>#N/A</v>
      </c>
    </row>
    <row r="15" spans="1:11">
      <c r="A15" s="174">
        <v>45807</v>
      </c>
      <c r="B15">
        <v>51.4</v>
      </c>
      <c r="C15" s="60">
        <f>VLOOKUP(Tabla1[[#This Row],[Fecha]],[1]Base!$K$5:$L$249,2,FALSE)</f>
        <v>2278991.5</v>
      </c>
      <c r="D15" s="56">
        <f t="shared" si="0"/>
        <v>-3.8172573505029714E-2</v>
      </c>
      <c r="E15" s="56">
        <f t="shared" si="0"/>
        <v>-1.2672482916194272E-2</v>
      </c>
      <c r="F15">
        <f>VLOOKUP(A15,[1]Base!$A$5:$B$265, 2, FALSE)</f>
        <v>1191.72</v>
      </c>
      <c r="G15" s="61">
        <f t="shared" si="1"/>
        <v>4.3130936797234246E-2</v>
      </c>
      <c r="H15" s="62">
        <f>Tabla1[[#This Row],[Merval $]]/F15</f>
        <v>1912.3548316718691</v>
      </c>
      <c r="I15" s="63">
        <f t="shared" si="2"/>
        <v>-4.6446902190102328E-2</v>
      </c>
      <c r="J15" s="63">
        <f t="shared" si="2"/>
        <v>-2.0946811601267004E-2</v>
      </c>
      <c r="K15" s="64" t="e">
        <f>VLOOKUP(Tabla1[[#This Row],[Fecha]],[1]Base!$N$5:$O$263,2,FALSE)</f>
        <v>#N/A</v>
      </c>
    </row>
    <row r="16" spans="1:11">
      <c r="A16" s="174">
        <v>45806</v>
      </c>
      <c r="B16">
        <v>53.4</v>
      </c>
      <c r="C16" s="60">
        <f>VLOOKUP(Tabla1[[#This Row],[Fecha]],[1]Base!$K$5:$L$249,2,FALSE)</f>
        <v>2308055.75</v>
      </c>
      <c r="D16" s="56">
        <f t="shared" si="0"/>
        <v>0</v>
      </c>
      <c r="E16" s="56">
        <f t="shared" si="0"/>
        <v>-1.559393004107467E-2</v>
      </c>
      <c r="F16">
        <f>VLOOKUP(A16,[1]Base!$A$5:$B$265, 2, FALSE)</f>
        <v>1181.9000000000001</v>
      </c>
      <c r="G16" s="61">
        <f t="shared" si="1"/>
        <v>4.5181487435485231E-2</v>
      </c>
      <c r="H16" s="62">
        <f>Tabla1[[#This Row],[Merval $]]/F16</f>
        <v>1952.8350537270496</v>
      </c>
      <c r="I16" s="63">
        <f t="shared" si="2"/>
        <v>-1.4573914575773558E-2</v>
      </c>
      <c r="J16" s="63">
        <f t="shared" si="2"/>
        <v>-3.01678446168481E-2</v>
      </c>
      <c r="K16" s="64">
        <f>VLOOKUP(Tabla1[[#This Row],[Fecha]],[1]Base!$N$5:$O$263,2,FALSE)</f>
        <v>663</v>
      </c>
    </row>
    <row r="17" spans="1:11">
      <c r="A17" s="174">
        <v>45805</v>
      </c>
      <c r="B17">
        <v>53.4</v>
      </c>
      <c r="C17" s="60">
        <f>VLOOKUP(Tabla1[[#This Row],[Fecha]],[1]Base!$K$5:$L$249,2,FALSE)</f>
        <v>2344329.5</v>
      </c>
      <c r="D17" s="56">
        <f t="shared" si="0"/>
        <v>-1.8709079358117313E-3</v>
      </c>
      <c r="E17" s="56">
        <f t="shared" si="0"/>
        <v>-4.5830128355102079E-3</v>
      </c>
      <c r="F17">
        <f>VLOOKUP(A17,[1]Base!$A$5:$B$265, 2, FALSE)</f>
        <v>1164.8</v>
      </c>
      <c r="G17" s="61">
        <f t="shared" si="1"/>
        <v>4.5844780219780223E-2</v>
      </c>
      <c r="H17" s="62">
        <f>Tabla1[[#This Row],[Merval $]]/F17</f>
        <v>2012.6455185439561</v>
      </c>
      <c r="I17" s="63">
        <f t="shared" si="2"/>
        <v>-4.8802391265210694E-3</v>
      </c>
      <c r="J17" s="63">
        <f t="shared" si="2"/>
        <v>-7.592344026219707E-3</v>
      </c>
      <c r="K17" s="64">
        <f>VLOOKUP(Tabla1[[#This Row],[Fecha]],[1]Base!$N$5:$O$263,2,FALSE)</f>
        <v>655</v>
      </c>
    </row>
    <row r="18" spans="1:11">
      <c r="A18" s="174">
        <v>45804</v>
      </c>
      <c r="B18">
        <v>53.5</v>
      </c>
      <c r="C18" s="60">
        <f>VLOOKUP(Tabla1[[#This Row],[Fecha]],[1]Base!$K$5:$L$249,2,FALSE)</f>
        <v>2355098.25</v>
      </c>
      <c r="D18" s="56">
        <f t="shared" si="0"/>
        <v>3.0362863730117966E-2</v>
      </c>
      <c r="E18" s="56">
        <f t="shared" si="0"/>
        <v>-6.6450045881864392E-3</v>
      </c>
      <c r="F18">
        <f>VLOOKUP(A18,[1]Base!$A$5:$B$265, 2, FALSE)</f>
        <v>1161.3</v>
      </c>
      <c r="G18" s="61">
        <f t="shared" si="1"/>
        <v>4.6069060535606651E-2</v>
      </c>
      <c r="H18" s="62">
        <f>Tabla1[[#This Row],[Merval $]]/F18</f>
        <v>2027.9843709635754</v>
      </c>
      <c r="I18" s="63">
        <f t="shared" si="2"/>
        <v>1.659417843466247E-2</v>
      </c>
      <c r="J18" s="63">
        <f t="shared" si="2"/>
        <v>-2.0413689883641895E-2</v>
      </c>
      <c r="K18" s="64">
        <f>VLOOKUP(Tabla1[[#This Row],[Fecha]],[1]Base!$N$5:$O$263,2,FALSE)</f>
        <v>666</v>
      </c>
    </row>
    <row r="19" spans="1:11">
      <c r="A19" s="174">
        <v>45803</v>
      </c>
      <c r="B19">
        <v>51.9</v>
      </c>
      <c r="C19" s="60">
        <f>VLOOKUP(Tabla1[[#This Row],[Fecha]],[1]Base!$K$5:$L$249,2,FALSE)</f>
        <v>2370800</v>
      </c>
      <c r="D19" s="56">
        <f t="shared" si="0"/>
        <v>-5.7637047167501294E-3</v>
      </c>
      <c r="E19" s="56">
        <f t="shared" si="0"/>
        <v>1.055736823500871E-2</v>
      </c>
      <c r="F19">
        <f>VLOOKUP(A19,[1]Base!$A$5:$B$265, 2, FALSE)</f>
        <v>1145.42</v>
      </c>
      <c r="G19" s="61">
        <f t="shared" si="1"/>
        <v>4.531089032843847E-2</v>
      </c>
      <c r="H19" s="62">
        <f>Tabla1[[#This Row],[Merval $]]/F19</f>
        <v>2069.8084545406923</v>
      </c>
      <c r="I19" s="63">
        <f t="shared" si="2"/>
        <v>-7.5987760567104278E-3</v>
      </c>
      <c r="J19" s="63">
        <f t="shared" si="2"/>
        <v>8.7222968950483922E-3</v>
      </c>
      <c r="K19" s="64">
        <f>VLOOKUP(Tabla1[[#This Row],[Fecha]],[1]Base!$N$5:$O$263,2,FALSE)</f>
        <v>666</v>
      </c>
    </row>
    <row r="20" spans="1:11">
      <c r="A20" s="174">
        <v>45800</v>
      </c>
      <c r="B20">
        <v>52.2</v>
      </c>
      <c r="C20" s="60">
        <f>VLOOKUP(Tabla1[[#This Row],[Fecha]],[1]Base!$K$5:$L$249,2,FALSE)</f>
        <v>2345902.25</v>
      </c>
      <c r="D20" s="56">
        <f t="shared" si="0"/>
        <v>-1.5209418663528795E-2</v>
      </c>
      <c r="E20" s="56">
        <f t="shared" si="0"/>
        <v>1.3304888588762652E-2</v>
      </c>
      <c r="F20">
        <f>VLOOKUP(A20,[1]Base!$A$5:$B$265, 2, FALSE)</f>
        <v>1143.32</v>
      </c>
      <c r="G20" s="61">
        <f t="shared" si="1"/>
        <v>4.5656509113808912E-2</v>
      </c>
      <c r="H20" s="62">
        <f>Tabla1[[#This Row],[Merval $]]/F20</f>
        <v>2051.8334761921424</v>
      </c>
      <c r="I20" s="63">
        <f t="shared" si="2"/>
        <v>-1.5060739936119717E-2</v>
      </c>
      <c r="J20" s="63">
        <f t="shared" si="2"/>
        <v>1.3453567316171899E-2</v>
      </c>
      <c r="K20" s="64">
        <f>VLOOKUP(Tabla1[[#This Row],[Fecha]],[1]Base!$N$5:$O$263,2,FALSE)</f>
        <v>665</v>
      </c>
    </row>
    <row r="21" spans="1:11">
      <c r="A21" s="174">
        <v>45799</v>
      </c>
      <c r="B21">
        <v>53</v>
      </c>
      <c r="C21" s="60">
        <f>VLOOKUP(Tabla1[[#This Row],[Fecha]],[1]Base!$K$5:$L$249,2,FALSE)</f>
        <v>2314897</v>
      </c>
      <c r="D21" s="56">
        <f t="shared" si="0"/>
        <v>9.4787439545437387E-3</v>
      </c>
      <c r="E21" s="56">
        <f t="shared" si="0"/>
        <v>-2.0073605620924161E-3</v>
      </c>
      <c r="F21">
        <f>VLOOKUP(A21,[1]Base!$A$5:$B$265, 2, FALSE)</f>
        <v>1143.49</v>
      </c>
      <c r="G21" s="61">
        <f t="shared" si="1"/>
        <v>4.6349334056266345E-2</v>
      </c>
      <c r="H21" s="62">
        <f>Tabla1[[#This Row],[Merval $]]/F21</f>
        <v>2024.4138558273355</v>
      </c>
      <c r="I21" s="63">
        <f t="shared" si="2"/>
        <v>1.4111673904798162E-2</v>
      </c>
      <c r="J21" s="63">
        <f t="shared" si="2"/>
        <v>2.6255693881617175E-3</v>
      </c>
      <c r="K21" s="64">
        <f>VLOOKUP(Tabla1[[#This Row],[Fecha]],[1]Base!$N$5:$O$263,2,FALSE)</f>
        <v>665</v>
      </c>
    </row>
    <row r="22" spans="1:11">
      <c r="A22" s="174">
        <v>45798</v>
      </c>
      <c r="B22">
        <v>52.5</v>
      </c>
      <c r="C22" s="60">
        <f>VLOOKUP(Tabla1[[#This Row],[Fecha]],[1]Base!$K$5:$L$249,2,FALSE)</f>
        <v>2319548.5</v>
      </c>
      <c r="D22" s="56">
        <f t="shared" si="0"/>
        <v>-3.7387532071620329E-2</v>
      </c>
      <c r="E22" s="56">
        <f t="shared" si="0"/>
        <v>-2.5082346516130442E-2</v>
      </c>
      <c r="F22">
        <f>VLOOKUP(A22,[1]Base!$A$5:$B$265, 2, FALSE)</f>
        <v>1148.8</v>
      </c>
      <c r="G22" s="61">
        <f t="shared" si="1"/>
        <v>4.5699860724233987E-2</v>
      </c>
      <c r="H22" s="62">
        <f>Tabla1[[#This Row],[Merval $]]/F22</f>
        <v>2019.1055884401114</v>
      </c>
      <c r="I22" s="63">
        <f t="shared" si="2"/>
        <v>-3.345204115950666E-2</v>
      </c>
      <c r="J22" s="63">
        <f t="shared" si="2"/>
        <v>-2.1146855604016992E-2</v>
      </c>
      <c r="K22" s="64">
        <f>VLOOKUP(Tabla1[[#This Row],[Fecha]],[1]Base!$N$5:$O$263,2,FALSE)</f>
        <v>661</v>
      </c>
    </row>
    <row r="23" spans="1:11">
      <c r="A23" s="174">
        <v>45797</v>
      </c>
      <c r="B23">
        <v>54.5</v>
      </c>
      <c r="C23" s="60">
        <f>VLOOKUP(Tabla1[[#This Row],[Fecha]],[1]Base!$K$5:$L$249,2,FALSE)</f>
        <v>2378464</v>
      </c>
      <c r="D23" s="56">
        <f t="shared" si="0"/>
        <v>3.3585246121881768E-2</v>
      </c>
      <c r="E23" s="56">
        <f t="shared" si="0"/>
        <v>3.7737231056345958E-3</v>
      </c>
      <c r="F23">
        <f>VLOOKUP(A23,[1]Base!$A$5:$B$265, 2, FALSE)</f>
        <v>1153.33</v>
      </c>
      <c r="G23" s="61">
        <f t="shared" si="1"/>
        <v>4.7254471833733623E-2</v>
      </c>
      <c r="H23" s="62">
        <f>Tabla1[[#This Row],[Merval $]]/F23</f>
        <v>2062.2579834045764</v>
      </c>
      <c r="I23" s="63">
        <f t="shared" si="2"/>
        <v>2.962364066265824E-2</v>
      </c>
      <c r="J23" s="63">
        <f t="shared" si="2"/>
        <v>-1.8788235358888704E-4</v>
      </c>
      <c r="K23" s="64">
        <f>VLOOKUP(Tabla1[[#This Row],[Fecha]],[1]Base!$N$5:$O$263,2,FALSE)</f>
        <v>663</v>
      </c>
    </row>
    <row r="24" spans="1:11">
      <c r="A24" s="174">
        <v>45796</v>
      </c>
      <c r="B24">
        <v>52.7</v>
      </c>
      <c r="C24" s="60">
        <f>VLOOKUP(Tabla1[[#This Row],[Fecha]],[1]Base!$K$5:$L$249,2,FALSE)</f>
        <v>2369505.25</v>
      </c>
      <c r="D24" s="56">
        <f t="shared" si="0"/>
        <v>1.3371736965889241E-2</v>
      </c>
      <c r="E24" s="56">
        <f t="shared" si="0"/>
        <v>2.1821138923044475E-2</v>
      </c>
      <c r="F24">
        <f>VLOOKUP(A24,[1]Base!$A$5:$B$265, 2, FALSE)</f>
        <v>1148.77</v>
      </c>
      <c r="G24" s="61">
        <f t="shared" si="1"/>
        <v>4.5875153424967577E-2</v>
      </c>
      <c r="H24" s="62">
        <f>Tabla1[[#This Row],[Merval $]]/F24</f>
        <v>2062.645481689111</v>
      </c>
      <c r="I24" s="63">
        <f t="shared" si="2"/>
        <v>1.888416688200302E-2</v>
      </c>
      <c r="J24" s="63">
        <f t="shared" si="2"/>
        <v>2.7333568839158304E-2</v>
      </c>
      <c r="K24" s="64">
        <f>VLOOKUP(Tabla1[[#This Row],[Fecha]],[1]Base!$N$5:$O$263,2,FALSE)</f>
        <v>675</v>
      </c>
    </row>
    <row r="25" spans="1:11">
      <c r="A25" s="174">
        <v>45793</v>
      </c>
      <c r="B25">
        <v>52</v>
      </c>
      <c r="C25" s="60">
        <f>VLOOKUP(Tabla1[[#This Row],[Fecha]],[1]Base!$K$5:$L$249,2,FALSE)</f>
        <v>2318360</v>
      </c>
      <c r="D25" s="56">
        <f t="shared" si="0"/>
        <v>-1.3371736965889308E-2</v>
      </c>
      <c r="E25" s="56">
        <f t="shared" si="0"/>
        <v>8.6150497535525776E-3</v>
      </c>
      <c r="F25">
        <f>VLOOKUP(A25,[1]Base!$A$5:$B$265, 2, FALSE)</f>
        <v>1155.1199999999999</v>
      </c>
      <c r="G25" s="61">
        <f t="shared" si="1"/>
        <v>4.501696793406746E-2</v>
      </c>
      <c r="H25" s="62">
        <f>Tabla1[[#This Row],[Merval $]]/F25</f>
        <v>2007.0295726850891</v>
      </c>
      <c r="I25" s="63">
        <f t="shared" si="2"/>
        <v>-2.5741017160018625E-2</v>
      </c>
      <c r="J25" s="63">
        <f t="shared" si="2"/>
        <v>-3.7542304405766519E-3</v>
      </c>
      <c r="K25" s="64">
        <f>VLOOKUP(Tabla1[[#This Row],[Fecha]],[1]Base!$N$5:$O$263,2,FALSE)</f>
        <v>676</v>
      </c>
    </row>
    <row r="26" spans="1:11">
      <c r="A26" s="174">
        <v>45792</v>
      </c>
      <c r="B26">
        <v>52.7</v>
      </c>
      <c r="C26" s="60">
        <f>VLOOKUP(Tabla1[[#This Row],[Fecha]],[1]Base!$K$5:$L$249,2,FALSE)</f>
        <v>2298473</v>
      </c>
      <c r="D26" s="56">
        <f t="shared" si="0"/>
        <v>-9.4429408002820719E-3</v>
      </c>
      <c r="E26" s="56">
        <f t="shared" si="0"/>
        <v>-1.3783349505158073E-3</v>
      </c>
      <c r="F26">
        <f>VLOOKUP(A26,[1]Base!$A$5:$B$265, 2, FALSE)</f>
        <v>1140.92</v>
      </c>
      <c r="G26" s="61">
        <f t="shared" si="1"/>
        <v>4.619079339480419E-2</v>
      </c>
      <c r="H26" s="62">
        <f>Tabla1[[#This Row],[Merval $]]/F26</f>
        <v>2014.5785857027661</v>
      </c>
      <c r="I26" s="63">
        <f t="shared" si="2"/>
        <v>-9.4429408002820719E-3</v>
      </c>
      <c r="J26" s="63">
        <f t="shared" si="2"/>
        <v>-1.378334950515696E-3</v>
      </c>
      <c r="K26" s="64">
        <f>VLOOKUP(Tabla1[[#This Row],[Fecha]],[1]Base!$N$5:$O$263,2,FALSE)</f>
        <v>676</v>
      </c>
    </row>
    <row r="27" spans="1:11">
      <c r="A27" s="174">
        <v>45791</v>
      </c>
      <c r="B27">
        <v>53.2</v>
      </c>
      <c r="C27" s="60">
        <f>VLOOKUP(Tabla1[[#This Row],[Fecha]],[1]Base!$K$5:$L$249,2,FALSE)</f>
        <v>2301643.25</v>
      </c>
      <c r="D27" s="56">
        <f t="shared" si="0"/>
        <v>1.8975901459005604E-2</v>
      </c>
      <c r="E27" s="56">
        <f t="shared" si="0"/>
        <v>7.0458344035515472E-3</v>
      </c>
      <c r="F27">
        <f>VLOOKUP(A27,[1]Base!$A$5:$B$265, 2, FALSE)</f>
        <v>1140.92</v>
      </c>
      <c r="G27" s="61">
        <f t="shared" si="1"/>
        <v>4.6629036216386775E-2</v>
      </c>
      <c r="H27" s="62">
        <f>Tabla1[[#This Row],[Merval $]]/F27</f>
        <v>2017.3572643130103</v>
      </c>
      <c r="I27" s="63">
        <f t="shared" si="2"/>
        <v>1.8975901459005604E-2</v>
      </c>
      <c r="J27" s="63">
        <f t="shared" si="2"/>
        <v>7.0458344035515472E-3</v>
      </c>
      <c r="K27" s="64">
        <f>VLOOKUP(Tabla1[[#This Row],[Fecha]],[1]Base!$N$5:$O$263,2,FALSE)</f>
        <v>648</v>
      </c>
    </row>
    <row r="28" spans="1:11">
      <c r="A28" s="174">
        <v>45790</v>
      </c>
      <c r="B28">
        <v>52.2</v>
      </c>
      <c r="C28" s="60">
        <f>VLOOKUP(Tabla1[[#This Row],[Fecha]],[1]Base!$K$5:$L$249,2,FALSE)</f>
        <v>2285483.25</v>
      </c>
      <c r="D28" s="56">
        <f t="shared" si="0"/>
        <v>0.15287435546765371</v>
      </c>
      <c r="E28" s="56">
        <f t="shared" si="0"/>
        <v>2.4398902207309135E-2</v>
      </c>
      <c r="F28">
        <f>VLOOKUP(A28,[1]Base!$A$5:$B$265, 2, FALSE)</f>
        <v>1140.92</v>
      </c>
      <c r="G28" s="61">
        <f t="shared" si="1"/>
        <v>4.5752550573221612E-2</v>
      </c>
      <c r="H28" s="62">
        <f>Tabla1[[#This Row],[Merval $]]/F28</f>
        <v>2003.1932563194614</v>
      </c>
      <c r="I28" s="63">
        <f t="shared" si="2"/>
        <v>0.15311974133816447</v>
      </c>
      <c r="J28" s="63">
        <f t="shared" si="2"/>
        <v>2.4644288077820035E-2</v>
      </c>
      <c r="K28" s="64">
        <f>VLOOKUP(Tabla1[[#This Row],[Fecha]],[1]Base!$N$5:$O$263,2,FALSE)</f>
        <v>651</v>
      </c>
    </row>
    <row r="29" spans="1:11">
      <c r="A29" s="174">
        <v>45789</v>
      </c>
      <c r="B29">
        <v>44.8</v>
      </c>
      <c r="C29" s="60">
        <f>VLOOKUP(Tabla1[[#This Row],[Fecha]],[1]Base!$K$5:$L$249,2,FALSE)</f>
        <v>2230394.75</v>
      </c>
      <c r="D29" s="56">
        <f t="shared" si="0"/>
        <v>4.9180865483251228E-2</v>
      </c>
      <c r="E29" s="56">
        <f t="shared" si="0"/>
        <v>5.3414361196412428E-2</v>
      </c>
      <c r="F29">
        <f>VLOOKUP(A29,[1]Base!$A$5:$B$265, 2, FALSE)</f>
        <v>1141.2</v>
      </c>
      <c r="G29" s="61">
        <f t="shared" si="1"/>
        <v>3.925692253767963E-2</v>
      </c>
      <c r="H29" s="62">
        <f>Tabla1[[#This Row],[Merval $]]/F29</f>
        <v>1954.4293287767262</v>
      </c>
      <c r="I29" s="63">
        <f t="shared" si="2"/>
        <v>5.1727567307318457E-2</v>
      </c>
      <c r="J29" s="63">
        <f t="shared" si="2"/>
        <v>5.5961063020479596E-2</v>
      </c>
      <c r="K29" s="64">
        <f>VLOOKUP(Tabla1[[#This Row],[Fecha]],[1]Base!$N$5:$O$263,2,FALSE)</f>
        <v>650</v>
      </c>
    </row>
    <row r="30" spans="1:11">
      <c r="A30" s="174">
        <v>45786</v>
      </c>
      <c r="B30">
        <v>42.65</v>
      </c>
      <c r="C30" s="60">
        <f>VLOOKUP(Tabla1[[#This Row],[Fecha]],[1]Base!$K$5:$L$249,2,FALSE)</f>
        <v>2114385.5</v>
      </c>
      <c r="D30" s="56">
        <f t="shared" si="0"/>
        <v>-2.3419214450811437E-3</v>
      </c>
      <c r="E30" s="56">
        <f t="shared" si="0"/>
        <v>2.5222549346056108E-2</v>
      </c>
      <c r="F30">
        <f>VLOOKUP(A30,[1]Base!$A$5:$B$265, 2, FALSE)</f>
        <v>1144.1099999999999</v>
      </c>
      <c r="G30" s="61">
        <f t="shared" si="1"/>
        <v>3.7277884119533963E-2</v>
      </c>
      <c r="H30" s="62">
        <f>Tabla1[[#This Row],[Merval $]]/F30</f>
        <v>1848.0613752174181</v>
      </c>
      <c r="I30" s="63">
        <f t="shared" si="2"/>
        <v>-3.0326529921970982E-3</v>
      </c>
      <c r="J30" s="63">
        <f t="shared" si="2"/>
        <v>2.453181779894021E-2</v>
      </c>
      <c r="K30" s="64">
        <f>VLOOKUP(Tabla1[[#This Row],[Fecha]],[1]Base!$N$5:$O$263,2,FALSE)</f>
        <v>678</v>
      </c>
    </row>
    <row r="31" spans="1:11">
      <c r="A31" s="174">
        <v>45785</v>
      </c>
      <c r="B31">
        <v>42.75</v>
      </c>
      <c r="C31" s="60">
        <f>VLOOKUP(Tabla1[[#This Row],[Fecha]],[1]Base!$K$5:$L$249,2,FALSE)</f>
        <v>2061722.25</v>
      </c>
      <c r="D31" s="56">
        <f t="shared" si="0"/>
        <v>-2.0834086902841914E-2</v>
      </c>
      <c r="E31" s="56">
        <f t="shared" si="0"/>
        <v>8.7701564152309396E-4</v>
      </c>
      <c r="F31">
        <f>VLOOKUP(A31,[1]Base!$A$5:$B$265, 2, FALSE)</f>
        <v>1143.32</v>
      </c>
      <c r="G31" s="61">
        <f t="shared" si="1"/>
        <v>3.7391106601826263E-2</v>
      </c>
      <c r="H31" s="62">
        <f>Tabla1[[#This Row],[Merval $]]/F31</f>
        <v>1803.2766417101075</v>
      </c>
      <c r="I31" s="63">
        <f t="shared" si="2"/>
        <v>-9.7440754868948209E-3</v>
      </c>
      <c r="J31" s="63">
        <f t="shared" si="2"/>
        <v>1.1967027057470074E-2</v>
      </c>
      <c r="K31" s="64">
        <f>VLOOKUP(Tabla1[[#This Row],[Fecha]],[1]Base!$N$5:$O$263,2,FALSE)</f>
        <v>678</v>
      </c>
    </row>
    <row r="32" spans="1:11">
      <c r="A32" s="174">
        <v>45784</v>
      </c>
      <c r="B32">
        <v>43.65</v>
      </c>
      <c r="C32" s="60">
        <f>VLOOKUP(Tabla1[[#This Row],[Fecha]],[1]Base!$K$5:$L$249,2,FALSE)</f>
        <v>2059914.88</v>
      </c>
      <c r="D32" s="56">
        <f t="shared" si="0"/>
        <v>-3.0459207484708574E-2</v>
      </c>
      <c r="E32" s="56">
        <f t="shared" si="0"/>
        <v>-3.345473599894612E-2</v>
      </c>
      <c r="F32">
        <f>VLOOKUP(A32,[1]Base!$A$5:$B$265, 2, FALSE)</f>
        <v>1156.07</v>
      </c>
      <c r="G32" s="61">
        <f t="shared" si="1"/>
        <v>3.7757229233523926E-2</v>
      </c>
      <c r="H32" s="62">
        <f>Tabla1[[#This Row],[Merval $]]/F32</f>
        <v>1781.8253911960348</v>
      </c>
      <c r="I32" s="63">
        <f t="shared" si="2"/>
        <v>6.5109744351941855E-3</v>
      </c>
      <c r="J32" s="63">
        <f t="shared" si="2"/>
        <v>3.5154459209564204E-3</v>
      </c>
      <c r="K32" s="64">
        <f>VLOOKUP(Tabla1[[#This Row],[Fecha]],[1]Base!$N$5:$O$263,2,FALSE)</f>
        <v>766</v>
      </c>
    </row>
    <row r="33" spans="1:23">
      <c r="A33" s="174">
        <v>45783</v>
      </c>
      <c r="B33">
        <v>45</v>
      </c>
      <c r="C33" s="60">
        <f>VLOOKUP(Tabla1[[#This Row],[Fecha]],[1]Base!$K$5:$L$249,2,FALSE)</f>
        <v>2129994.5</v>
      </c>
      <c r="D33" s="56">
        <f t="shared" si="0"/>
        <v>0.106595846265819</v>
      </c>
      <c r="E33" s="56">
        <f t="shared" si="0"/>
        <v>3.3446604628051935E-2</v>
      </c>
      <c r="F33">
        <f>VLOOKUP(A33,[1]Base!$A$5:$B$265, 2, FALSE)</f>
        <v>1199.6099999999999</v>
      </c>
      <c r="G33" s="61">
        <f t="shared" si="1"/>
        <v>3.7512191462225224E-2</v>
      </c>
      <c r="H33" s="62">
        <f>Tabla1[[#This Row],[Merval $]]/F33</f>
        <v>1775.5724777219264</v>
      </c>
      <c r="I33" s="63">
        <f t="shared" si="2"/>
        <v>0.10935127666147343</v>
      </c>
      <c r="J33" s="63">
        <f t="shared" si="2"/>
        <v>3.6202035023706503E-2</v>
      </c>
      <c r="K33" s="64">
        <f>VLOOKUP(Tabla1[[#This Row],[Fecha]],[1]Base!$N$5:$O$263,2,FALSE)</f>
        <v>741</v>
      </c>
    </row>
    <row r="34" spans="1:23">
      <c r="A34" s="174">
        <v>45782</v>
      </c>
      <c r="B34">
        <v>40.450000000000003</v>
      </c>
      <c r="C34" s="60">
        <f>VLOOKUP(Tabla1[[#This Row],[Fecha]],[1]Base!$K$5:$L$249,2,FALSE)</f>
        <v>2059931.63</v>
      </c>
      <c r="D34" s="56">
        <f t="shared" si="0"/>
        <v>-3.8792742914456217E-2</v>
      </c>
      <c r="E34" s="56">
        <f t="shared" si="0"/>
        <v>-1.9666256819073094E-2</v>
      </c>
      <c r="F34">
        <f>VLOOKUP(A34,[1]Base!$A$5:$B$265, 2, FALSE)</f>
        <v>1202.92</v>
      </c>
      <c r="G34" s="61">
        <f t="shared" si="1"/>
        <v>3.3626508828517275E-2</v>
      </c>
      <c r="H34" s="62">
        <f>Tabla1[[#This Row],[Merval $]]/F34</f>
        <v>1712.4427476473911</v>
      </c>
      <c r="I34" s="63">
        <f t="shared" si="2"/>
        <v>-5.5178377025465852E-2</v>
      </c>
      <c r="J34" s="63">
        <f t="shared" si="2"/>
        <v>-3.605189093008275E-2</v>
      </c>
      <c r="K34" s="64">
        <f>VLOOKUP(Tabla1[[#This Row],[Fecha]],[1]Base!$N$5:$O$263,2,FALSE)</f>
        <v>741</v>
      </c>
    </row>
    <row r="35" spans="1:23">
      <c r="A35" s="174">
        <v>45777</v>
      </c>
      <c r="B35">
        <v>42.05</v>
      </c>
      <c r="C35" s="60">
        <f>VLOOKUP(Tabla1[[#This Row],[Fecha]],[1]Base!$K$5:$L$249,2,FALSE)</f>
        <v>2100843.75</v>
      </c>
      <c r="D35" s="56">
        <f t="shared" si="0"/>
        <v>-2.3502844454782779E-2</v>
      </c>
      <c r="E35" s="56">
        <f t="shared" si="0"/>
        <v>-2.7235580538024374E-2</v>
      </c>
      <c r="F35">
        <f>VLOOKUP(A35,[1]Base!$A$5:$B$265, 2, FALSE)</f>
        <v>1183.3699999999999</v>
      </c>
      <c r="G35" s="61">
        <f t="shared" si="1"/>
        <v>3.5534110210669531E-2</v>
      </c>
      <c r="H35" s="62">
        <f>Tabla1[[#This Row],[Merval $]]/F35</f>
        <v>1775.30590601418</v>
      </c>
      <c r="I35" s="63">
        <f t="shared" si="2"/>
        <v>-3.2176705975843593E-2</v>
      </c>
      <c r="J35" s="63">
        <f t="shared" si="2"/>
        <v>-3.5909442059085341E-2</v>
      </c>
      <c r="K35" s="64">
        <f>VLOOKUP(Tabla1[[#This Row],[Fecha]],[1]Base!$N$5:$O$263,2,FALSE)</f>
        <v>726</v>
      </c>
    </row>
    <row r="36" spans="1:23">
      <c r="A36" s="174">
        <v>45776</v>
      </c>
      <c r="B36">
        <v>43.05</v>
      </c>
      <c r="C36" s="60">
        <f>VLOOKUP(Tabla1[[#This Row],[Fecha]],[1]Base!$K$5:$L$249,2,FALSE)</f>
        <v>2158847.75</v>
      </c>
      <c r="D36" s="56">
        <f t="shared" si="0"/>
        <v>-1.6129381929883644E-2</v>
      </c>
      <c r="E36" s="56">
        <f t="shared" si="0"/>
        <v>-9.4055770301306255E-3</v>
      </c>
      <c r="F36">
        <f>VLOOKUP(A36,[1]Base!$A$5:$B$265, 2, FALSE)</f>
        <v>1173.1500000000001</v>
      </c>
      <c r="G36" s="61">
        <f t="shared" si="1"/>
        <v>3.6696074670758208E-2</v>
      </c>
      <c r="H36" s="62">
        <f>Tabla1[[#This Row],[Merval $]]/F36</f>
        <v>1840.2145931892767</v>
      </c>
      <c r="I36" s="63">
        <f t="shared" si="2"/>
        <v>-1.323539344372443E-2</v>
      </c>
      <c r="J36" s="63">
        <f t="shared" si="2"/>
        <v>-6.5115885439713944E-3</v>
      </c>
      <c r="K36" s="64">
        <f>VLOOKUP(Tabla1[[#This Row],[Fecha]],[1]Base!$N$5:$O$263,2,FALSE)</f>
        <v>701</v>
      </c>
    </row>
    <row r="37" spans="1:23">
      <c r="A37" s="174">
        <v>45775</v>
      </c>
      <c r="B37">
        <v>43.75</v>
      </c>
      <c r="C37" s="60">
        <f>VLOOKUP(Tabla1[[#This Row],[Fecha]],[1]Base!$K$5:$L$249,2,FALSE)</f>
        <v>2179248.75</v>
      </c>
      <c r="D37" s="56">
        <f t="shared" si="0"/>
        <v>-1.1363758650315095E-2</v>
      </c>
      <c r="E37" s="56">
        <f t="shared" si="0"/>
        <v>-2.0885803473152442E-2</v>
      </c>
      <c r="F37">
        <f>VLOOKUP(A37,[1]Base!$A$5:$B$265, 2, FALSE)</f>
        <v>1176.55</v>
      </c>
      <c r="G37" s="61">
        <f t="shared" si="1"/>
        <v>3.7184990013174109E-2</v>
      </c>
      <c r="H37" s="62">
        <f>Tabla1[[#This Row],[Merval $]]/F37</f>
        <v>1852.236411542221</v>
      </c>
      <c r="I37" s="63">
        <f t="shared" si="2"/>
        <v>-4.8489672469679383E-3</v>
      </c>
      <c r="J37" s="63">
        <f t="shared" si="2"/>
        <v>-1.4371012069805218E-2</v>
      </c>
      <c r="K37" s="64">
        <f>VLOOKUP(Tabla1[[#This Row],[Fecha]],[1]Base!$N$5:$O$263,2,FALSE)</f>
        <v>710</v>
      </c>
    </row>
    <row r="38" spans="1:23">
      <c r="A38" s="174">
        <v>45772</v>
      </c>
      <c r="B38">
        <v>44.25</v>
      </c>
      <c r="C38" s="60">
        <f>VLOOKUP(Tabla1[[#This Row],[Fecha]],[1]Base!$K$5:$L$249,2,FALSE)</f>
        <v>2225242.75</v>
      </c>
      <c r="D38" s="56">
        <f t="shared" si="0"/>
        <v>1.0221554071538227E-2</v>
      </c>
      <c r="E38" s="56">
        <f t="shared" si="0"/>
        <v>-3.3658713675498012E-3</v>
      </c>
      <c r="F38">
        <f>VLOOKUP(A38,[1]Base!$A$5:$B$265, 2, FALSE)</f>
        <v>1184.24</v>
      </c>
      <c r="G38" s="61">
        <f t="shared" si="1"/>
        <v>3.7365736674998311E-2</v>
      </c>
      <c r="H38" s="62">
        <f>Tabla1[[#This Row],[Merval $]]/F38</f>
        <v>1879.0471103830305</v>
      </c>
      <c r="I38" s="63">
        <f t="shared" si="2"/>
        <v>1.2153416472536623E-2</v>
      </c>
      <c r="J38" s="63">
        <f t="shared" si="2"/>
        <v>-1.4340089665512315E-3</v>
      </c>
      <c r="K38" s="64">
        <f>VLOOKUP(Tabla1[[#This Row],[Fecha]],[1]Base!$N$5:$O$263,2,FALSE)</f>
        <v>692</v>
      </c>
    </row>
    <row r="39" spans="1:23">
      <c r="A39" s="174">
        <v>45771</v>
      </c>
      <c r="B39">
        <v>43.8</v>
      </c>
      <c r="C39" s="60">
        <f>VLOOKUP(Tabla1[[#This Row],[Fecha]],[1]Base!$K$5:$L$249,2,FALSE)</f>
        <v>2232745.25</v>
      </c>
      <c r="D39" s="56">
        <f t="shared" si="0"/>
        <v>8.022965670999244E-3</v>
      </c>
      <c r="E39" s="56">
        <f t="shared" si="0"/>
        <v>-2.9769837816718014E-3</v>
      </c>
      <c r="F39">
        <f>VLOOKUP(A39,[1]Base!$A$5:$B$265, 2, FALSE)</f>
        <v>1186.53</v>
      </c>
      <c r="G39" s="61">
        <f t="shared" si="1"/>
        <v>3.6914363732901821E-2</v>
      </c>
      <c r="H39" s="62">
        <f>Tabla1[[#This Row],[Merval $]]/F39</f>
        <v>1881.7436137307948</v>
      </c>
      <c r="I39" s="63">
        <f t="shared" si="2"/>
        <v>-7.7172309470634921E-3</v>
      </c>
      <c r="J39" s="63">
        <f t="shared" si="2"/>
        <v>-1.8717180399734617E-2</v>
      </c>
      <c r="K39" s="64">
        <f>VLOOKUP(Tabla1[[#This Row],[Fecha]],[1]Base!$N$5:$O$263,2,FALSE)</f>
        <v>713</v>
      </c>
    </row>
    <row r="40" spans="1:23">
      <c r="A40" s="174">
        <v>45770</v>
      </c>
      <c r="B40">
        <v>43.45</v>
      </c>
      <c r="C40" s="60">
        <f>VLOOKUP(Tabla1[[#This Row],[Fecha]],[1]Base!$K$5:$L$249,2,FALSE)</f>
        <v>2239402</v>
      </c>
      <c r="D40" s="56">
        <f t="shared" si="0"/>
        <v>3.1563111023065304E-2</v>
      </c>
      <c r="E40" s="56">
        <f t="shared" si="0"/>
        <v>3.4300875910053145E-2</v>
      </c>
      <c r="F40">
        <f>VLOOKUP(A40,[1]Base!$A$5:$B$265, 2, FALSE)</f>
        <v>1168</v>
      </c>
      <c r="G40" s="61">
        <f t="shared" si="1"/>
        <v>3.7200342465753426E-2</v>
      </c>
      <c r="H40" s="62">
        <f>Tabla1[[#This Row],[Merval $]]/F40</f>
        <v>1917.2962328767123</v>
      </c>
      <c r="I40" s="63">
        <f t="shared" si="2"/>
        <v>7.6317668135544815E-3</v>
      </c>
      <c r="J40" s="63">
        <f t="shared" si="2"/>
        <v>1.0369531700542228E-2</v>
      </c>
      <c r="K40" s="64">
        <f>VLOOKUP(Tabla1[[#This Row],[Fecha]],[1]Base!$N$5:$O$263,2,FALSE)</f>
        <v>720</v>
      </c>
    </row>
    <row r="41" spans="1:23">
      <c r="A41" s="174">
        <v>45769</v>
      </c>
      <c r="B41">
        <v>42.1</v>
      </c>
      <c r="C41" s="60">
        <f>VLOOKUP(Tabla1[[#This Row],[Fecha]],[1]Base!$K$5:$L$249,2,FALSE)</f>
        <v>2163891</v>
      </c>
      <c r="D41" s="56">
        <f t="shared" si="0"/>
        <v>-1.9988907741928713E-2</v>
      </c>
      <c r="E41" s="56">
        <f t="shared" si="0"/>
        <v>5.6164353256708224E-2</v>
      </c>
      <c r="F41">
        <f>VLOOKUP(A41,[1]Base!$A$5:$B$265, 2, FALSE)</f>
        <v>1140.3800000000001</v>
      </c>
      <c r="G41" s="61">
        <f t="shared" si="1"/>
        <v>3.6917518721829565E-2</v>
      </c>
      <c r="H41" s="62">
        <f>Tabla1[[#This Row],[Merval $]]/F41</f>
        <v>1897.5174941686103</v>
      </c>
      <c r="I41" s="63">
        <f t="shared" si="2"/>
        <v>-3.6166342131990027E-2</v>
      </c>
      <c r="J41" s="63">
        <f t="shared" si="2"/>
        <v>3.9986918866646876E-2</v>
      </c>
      <c r="K41" s="64">
        <f>VLOOKUP(Tabla1[[#This Row],[Fecha]],[1]Base!$N$5:$O$263,2,FALSE)</f>
        <v>720</v>
      </c>
      <c r="P41" s="176" t="s">
        <v>116</v>
      </c>
      <c r="Q41" s="176"/>
      <c r="R41" s="176" t="s">
        <v>145</v>
      </c>
      <c r="S41" s="176"/>
      <c r="V41" s="176" t="s">
        <v>116</v>
      </c>
      <c r="W41" s="176"/>
    </row>
    <row r="42" spans="1:23">
      <c r="A42" s="174">
        <v>45768</v>
      </c>
      <c r="B42">
        <v>42.95</v>
      </c>
      <c r="C42" s="60">
        <f>VLOOKUP(Tabla1[[#This Row],[Fecha]],[1]Base!$K$5:$L$249,2,FALSE)</f>
        <v>2045707.38</v>
      </c>
      <c r="D42" s="56">
        <f t="shared" si="0"/>
        <v>-0.11012215289918283</v>
      </c>
      <c r="E42" s="56">
        <f t="shared" si="0"/>
        <v>-6.2651909251157323E-2</v>
      </c>
      <c r="F42">
        <f>VLOOKUP(A42,[1]Base!$A$5:$B$265, 2, FALSE)</f>
        <v>1122.08</v>
      </c>
      <c r="G42" s="61">
        <f t="shared" si="1"/>
        <v>3.8277128190503357E-2</v>
      </c>
      <c r="H42" s="62">
        <f>Tabla1[[#This Row],[Merval $]]/F42</f>
        <v>1823.1386175673749</v>
      </c>
      <c r="I42" s="63">
        <f t="shared" si="2"/>
        <v>-7.1787206884793689E-2</v>
      </c>
      <c r="J42" s="63">
        <f t="shared" si="2"/>
        <v>-2.4316963236768178E-2</v>
      </c>
      <c r="K42" s="64">
        <f>VLOOKUP(Tabla1[[#This Row],[Fecha]],[1]Base!$N$5:$O$263,2,FALSE)</f>
        <v>720</v>
      </c>
      <c r="P42" t="s">
        <v>34</v>
      </c>
      <c r="Q42" t="s">
        <v>146</v>
      </c>
      <c r="R42" t="s">
        <v>34</v>
      </c>
      <c r="S42" t="s">
        <v>146</v>
      </c>
      <c r="V42" t="s">
        <v>34</v>
      </c>
      <c r="W42" t="s">
        <v>146</v>
      </c>
    </row>
    <row r="43" spans="1:23">
      <c r="A43" s="174">
        <v>45763</v>
      </c>
      <c r="B43">
        <v>47.95</v>
      </c>
      <c r="C43" s="60">
        <f>VLOOKUP(Tabla1[[#This Row],[Fecha]],[1]Base!$K$5:$L$249,2,FALSE)</f>
        <v>2177975</v>
      </c>
      <c r="D43" s="56">
        <f t="shared" si="0"/>
        <v>-0.1076519446367019</v>
      </c>
      <c r="E43" s="56">
        <f t="shared" si="0"/>
        <v>-4.7655111312245847E-2</v>
      </c>
      <c r="F43">
        <f>VLOOKUP(A43,[1]Base!$A$5:$B$265, 2, FALSE)</f>
        <v>1165.93</v>
      </c>
      <c r="G43" s="61">
        <f t="shared" si="1"/>
        <v>4.1125968111293133E-2</v>
      </c>
      <c r="H43" s="62">
        <f>Tabla1[[#This Row],[Merval $]]/F43</f>
        <v>1868.0152324753628</v>
      </c>
      <c r="I43" s="63">
        <f t="shared" si="2"/>
        <v>-4.7754600901926424E-2</v>
      </c>
      <c r="J43" s="63">
        <f t="shared" si="2"/>
        <v>1.2242232422529302E-2</v>
      </c>
      <c r="K43" s="64">
        <f>VLOOKUP(Tabla1[[#This Row],[Fecha]],[1]Base!$N$5:$O$263,2,FALSE)</f>
        <v>745</v>
      </c>
      <c r="O43" t="s">
        <v>147</v>
      </c>
      <c r="P43" s="62">
        <f>KURT(Tabla1[Rend AGRO])</f>
        <v>1.5011416312805088</v>
      </c>
      <c r="Q43" s="62">
        <f>KURT(I10:I255)</f>
        <v>1.5007313972682366</v>
      </c>
      <c r="R43" s="62">
        <f>KURT(E10:E255)</f>
        <v>2.3075667789797696</v>
      </c>
      <c r="S43" s="62">
        <f>KURT(J10:J255)</f>
        <v>1.6945732561264131</v>
      </c>
      <c r="U43" t="s">
        <v>148</v>
      </c>
      <c r="V43" s="52">
        <f>INDEX(Tabla1[Fecha],MATCH(MIN(Tabla1[AGRO $]),Tabla1[AGRO $],0))</f>
        <v>45782</v>
      </c>
      <c r="W43" s="52">
        <f>INDEX(Tabla1[Fecha],MATCH(MIN(Tabla1[AGRO USD]),Tabla1[AGRO USD],0))</f>
        <v>45757</v>
      </c>
    </row>
    <row r="44" spans="1:23">
      <c r="A44" s="174">
        <v>45762</v>
      </c>
      <c r="B44">
        <v>53.4</v>
      </c>
      <c r="C44" s="60">
        <f>VLOOKUP(Tabla1[[#This Row],[Fecha]],[1]Base!$K$5:$L$249,2,FALSE)</f>
        <v>2284279.5</v>
      </c>
      <c r="D44" s="56">
        <f t="shared" si="0"/>
        <v>3.7523496185503718E-3</v>
      </c>
      <c r="E44" s="56">
        <f t="shared" si="0"/>
        <v>-3.470622273479216E-2</v>
      </c>
      <c r="F44">
        <f>VLOOKUP(A44,[1]Base!$A$5:$B$265, 2, FALSE)</f>
        <v>1237.9000000000001</v>
      </c>
      <c r="G44" s="61">
        <f t="shared" si="1"/>
        <v>4.3137571693997893E-2</v>
      </c>
      <c r="H44" s="62">
        <f>Tabla1[[#This Row],[Merval $]]/F44</f>
        <v>1845.285968171904</v>
      </c>
      <c r="I44" s="63">
        <f t="shared" si="2"/>
        <v>1.6195812871360876E-2</v>
      </c>
      <c r="J44" s="63">
        <f t="shared" si="2"/>
        <v>-2.2262759481981684E-2</v>
      </c>
      <c r="K44" s="64">
        <f>VLOOKUP(Tabla1[[#This Row],[Fecha]],[1]Base!$N$5:$O$263,2,FALSE)</f>
        <v>725</v>
      </c>
      <c r="O44" t="s">
        <v>149</v>
      </c>
      <c r="P44" s="62">
        <f>_xlfn.SKEW.P(D10:D254)</f>
        <v>0.50773400182849038</v>
      </c>
      <c r="Q44" s="62">
        <f>_xlfn.SKEW.P(I10:I254)</f>
        <v>0.68153452441046669</v>
      </c>
      <c r="R44" s="62">
        <f>_xlfn.SKEW.P(E10:E254)</f>
        <v>-0.40569140622899408</v>
      </c>
      <c r="S44" s="62">
        <f>_xlfn.SKEW.P(J10:J254)</f>
        <v>0.23074705025309086</v>
      </c>
      <c r="U44" t="s">
        <v>150</v>
      </c>
      <c r="V44" s="52">
        <f>INDEX(Tabla1[Fecha],MATCH(MAX(Tabla1[AGRO $]),Tabla1[AGRO $],0))</f>
        <v>45643</v>
      </c>
      <c r="W44" s="52">
        <f>INDEX(Tabla1[Fecha],MATCH(MAX(Tabla1[AGRO USD]),Tabla1[AGRO USD],0))</f>
        <v>45629</v>
      </c>
    </row>
    <row r="45" spans="1:23">
      <c r="A45" s="174">
        <v>45761</v>
      </c>
      <c r="B45">
        <v>53.2</v>
      </c>
      <c r="C45" s="60">
        <f>VLOOKUP(Tabla1[[#This Row],[Fecha]],[1]Base!$K$5:$L$249,2,FALSE)</f>
        <v>2364950</v>
      </c>
      <c r="D45" s="56">
        <f t="shared" si="0"/>
        <v>8.0199361547123899E-2</v>
      </c>
      <c r="E45" s="56">
        <f t="shared" si="0"/>
        <v>5.0358805417240672E-2</v>
      </c>
      <c r="F45">
        <f>VLOOKUP(A45,[1]Base!$A$5:$B$265, 2, FALSE)</f>
        <v>1253.4000000000001</v>
      </c>
      <c r="G45" s="61">
        <f t="shared" si="1"/>
        <v>4.24445508217648E-2</v>
      </c>
      <c r="H45" s="62">
        <f>Tabla1[[#This Row],[Merval $]]/F45</f>
        <v>1886.8278283070049</v>
      </c>
      <c r="I45" s="63">
        <f t="shared" si="2"/>
        <v>0.14201907518734158</v>
      </c>
      <c r="J45" s="63">
        <f t="shared" si="2"/>
        <v>0.1121785190574584</v>
      </c>
      <c r="K45" s="64">
        <f>VLOOKUP(Tabla1[[#This Row],[Fecha]],[1]Base!$N$5:$O$263,2,FALSE)</f>
        <v>896</v>
      </c>
      <c r="O45" t="s">
        <v>153</v>
      </c>
      <c r="P45" s="62">
        <f>COUNT(D10:D254)</f>
        <v>245</v>
      </c>
      <c r="Q45" s="62">
        <f>COUNT(I10:I254)</f>
        <v>245</v>
      </c>
      <c r="R45" s="62">
        <f>COUNT(E10:E254)</f>
        <v>245</v>
      </c>
      <c r="S45" s="62">
        <f>COUNT(J10:J254)</f>
        <v>245</v>
      </c>
      <c r="V45" s="52"/>
      <c r="W45" s="52"/>
    </row>
    <row r="46" spans="1:23">
      <c r="A46" s="174">
        <v>45758</v>
      </c>
      <c r="B46">
        <v>49.1</v>
      </c>
      <c r="C46" s="60">
        <f>VLOOKUP(Tabla1[[#This Row],[Fecha]],[1]Base!$K$5:$L$249,2,FALSE)</f>
        <v>2248803</v>
      </c>
      <c r="D46" s="56">
        <f t="shared" si="0"/>
        <v>7.3951318280134459E-2</v>
      </c>
      <c r="E46" s="56">
        <f t="shared" si="0"/>
        <v>6.300409684336658E-2</v>
      </c>
      <c r="F46">
        <f>VLOOKUP(A46,[1]Base!$A$5:$B$265, 2, FALSE)</f>
        <v>1333.33</v>
      </c>
      <c r="G46" s="61">
        <f t="shared" si="1"/>
        <v>3.6825092062730158E-2</v>
      </c>
      <c r="H46" s="62">
        <f>Tabla1[[#This Row],[Merval $]]/F46</f>
        <v>1686.6064665161664</v>
      </c>
      <c r="I46" s="63">
        <f t="shared" si="2"/>
        <v>9.670063660417369E-2</v>
      </c>
      <c r="J46" s="63">
        <f t="shared" si="2"/>
        <v>8.5753415167405644E-2</v>
      </c>
      <c r="K46" s="64">
        <f>VLOOKUP(Tabla1[[#This Row],[Fecha]],[1]Base!$N$5:$O$263,2,FALSE)</f>
        <v>874</v>
      </c>
      <c r="O46" t="s">
        <v>154</v>
      </c>
      <c r="P46" s="62">
        <f>(P45/6)*(P44^2+(P43^2)/4)</f>
        <v>33.530306607732385</v>
      </c>
      <c r="Q46" s="62">
        <f>(Q45/6)*(Q44^2+(Q43^2)/4)</f>
        <v>41.957801244044511</v>
      </c>
      <c r="R46" s="62">
        <f t="shared" ref="R46:S46" si="3">(R45/6)*(R44^2+(R43^2)/4)</f>
        <v>61.078566433825401</v>
      </c>
      <c r="S46" s="62">
        <f t="shared" si="3"/>
        <v>31.488168944554857</v>
      </c>
      <c r="V46" s="52"/>
      <c r="W46" s="52"/>
    </row>
    <row r="47" spans="1:23">
      <c r="A47" s="174">
        <v>45757</v>
      </c>
      <c r="B47">
        <v>45.6</v>
      </c>
      <c r="C47" s="60">
        <f>VLOOKUP(Tabla1[[#This Row],[Fecha]],[1]Base!$K$5:$L$249,2,FALSE)</f>
        <v>2111490.25</v>
      </c>
      <c r="D47" s="56">
        <f t="shared" si="0"/>
        <v>-6.3715814386107739E-2</v>
      </c>
      <c r="E47" s="56">
        <f t="shared" si="0"/>
        <v>-3.3570379994575891E-2</v>
      </c>
      <c r="F47">
        <f>VLOOKUP(A47,[1]Base!$A$5:$B$265, 2, FALSE)</f>
        <v>1364.01</v>
      </c>
      <c r="G47" s="61">
        <f t="shared" si="1"/>
        <v>3.3430839949853741E-2</v>
      </c>
      <c r="H47" s="62">
        <f>Tabla1[[#This Row],[Merval $]]/F47</f>
        <v>1548.0020307769005</v>
      </c>
      <c r="I47" s="63">
        <f t="shared" si="2"/>
        <v>-8.019233219366273E-2</v>
      </c>
      <c r="J47" s="63">
        <f t="shared" si="2"/>
        <v>-5.0046897802130938E-2</v>
      </c>
      <c r="K47" s="64">
        <f>VLOOKUP(Tabla1[[#This Row],[Fecha]],[1]Base!$N$5:$O$263,2,FALSE)</f>
        <v>899</v>
      </c>
      <c r="O47" t="s">
        <v>155</v>
      </c>
      <c r="P47" s="66">
        <f>_xlfn.CHISQ.DIST(P46,2,)</f>
        <v>2.6179203931671915E-8</v>
      </c>
      <c r="Q47" s="66">
        <f>_xlfn.CHISQ.DIST(Q46,2,)</f>
        <v>3.8721237431361569E-10</v>
      </c>
      <c r="R47" s="66">
        <f t="shared" ref="R47:S47" si="4">_xlfn.CHISQ.DIST(R46,2,)</f>
        <v>2.7285242750263596E-14</v>
      </c>
      <c r="S47" s="66">
        <f t="shared" si="4"/>
        <v>7.2677669958782032E-8</v>
      </c>
      <c r="V47" s="52"/>
      <c r="W47" s="52"/>
    </row>
    <row r="48" spans="1:23">
      <c r="A48" s="174">
        <v>45756</v>
      </c>
      <c r="B48">
        <v>48.6</v>
      </c>
      <c r="C48" s="60">
        <f>VLOOKUP(Tabla1[[#This Row],[Fecha]],[1]Base!$K$5:$L$249,2,FALSE)</f>
        <v>2183577</v>
      </c>
      <c r="D48" s="56">
        <f t="shared" si="0"/>
        <v>2.5001302205417401E-2</v>
      </c>
      <c r="E48" s="56">
        <f t="shared" si="0"/>
        <v>9.2517581859167156E-2</v>
      </c>
      <c r="F48">
        <f>VLOOKUP(A48,[1]Base!$A$5:$B$265, 2, FALSE)</f>
        <v>1341.72</v>
      </c>
      <c r="G48" s="61">
        <f t="shared" si="1"/>
        <v>3.6222162597263213E-2</v>
      </c>
      <c r="H48" s="62">
        <f>Tabla1[[#This Row],[Merval $]]/F48</f>
        <v>1627.4461139432967</v>
      </c>
      <c r="I48" s="63">
        <f t="shared" si="2"/>
        <v>5.0651091568265569E-2</v>
      </c>
      <c r="J48" s="63">
        <f t="shared" si="2"/>
        <v>0.11816737122201558</v>
      </c>
      <c r="K48" s="64">
        <f>VLOOKUP(Tabla1[[#This Row],[Fecha]],[1]Base!$N$5:$O$263,2,FALSE)</f>
        <v>889</v>
      </c>
    </row>
    <row r="49" spans="1:23">
      <c r="A49" s="174">
        <v>45755</v>
      </c>
      <c r="B49">
        <v>47.4</v>
      </c>
      <c r="C49" s="60">
        <f>VLOOKUP(Tabla1[[#This Row],[Fecha]],[1]Base!$K$5:$L$249,2,FALSE)</f>
        <v>1990621.25</v>
      </c>
      <c r="D49" s="56">
        <f t="shared" si="0"/>
        <v>1.594930140767804E-2</v>
      </c>
      <c r="E49" s="56">
        <f t="shared" si="0"/>
        <v>-1.760046489281665E-2</v>
      </c>
      <c r="F49">
        <f>VLOOKUP(A49,[1]Base!$A$5:$B$265, 2, FALSE)</f>
        <v>1376.58</v>
      </c>
      <c r="G49" s="61">
        <f t="shared" si="1"/>
        <v>3.4433160441093145E-2</v>
      </c>
      <c r="H49" s="62">
        <f>Tabla1[[#This Row],[Merval $]]/F49</f>
        <v>1446.062887736274</v>
      </c>
      <c r="I49" s="63">
        <f t="shared" si="2"/>
        <v>1.1413320744236885E-2</v>
      </c>
      <c r="J49" s="63">
        <f t="shared" si="2"/>
        <v>-2.213644555625769E-2</v>
      </c>
      <c r="K49" s="64">
        <f>VLOOKUP(Tabla1[[#This Row],[Fecha]],[1]Base!$N$5:$O$263,2,FALSE)</f>
        <v>978</v>
      </c>
      <c r="O49" t="s">
        <v>151</v>
      </c>
      <c r="P49" s="65">
        <f>AVERAGE(D10:D254)</f>
        <v>-4.3342876334776035E-4</v>
      </c>
      <c r="Q49" s="65">
        <f>AVERAGE(I9:I253)</f>
        <v>-3.2404155173496258E-4</v>
      </c>
      <c r="R49" s="65">
        <f>AVERAGE(E10:E254)</f>
        <v>1.4721145404114977E-3</v>
      </c>
      <c r="S49" s="65">
        <f>AVERAGE(J10:J254)</f>
        <v>1.7359114534746375E-3</v>
      </c>
      <c r="V49" s="176" t="s">
        <v>145</v>
      </c>
      <c r="W49" s="176"/>
    </row>
    <row r="50" spans="1:23">
      <c r="A50" s="174">
        <v>45754</v>
      </c>
      <c r="B50">
        <v>46.65</v>
      </c>
      <c r="C50" s="60">
        <f>VLOOKUP(Tabla1[[#This Row],[Fecha]],[1]Base!$K$5:$L$249,2,FALSE)</f>
        <v>2025967.25</v>
      </c>
      <c r="D50" s="56">
        <f t="shared" si="0"/>
        <v>-6.232546319782882E-2</v>
      </c>
      <c r="E50" s="56">
        <f t="shared" si="0"/>
        <v>-3.9605099502932964E-2</v>
      </c>
      <c r="F50">
        <f>VLOOKUP(A50,[1]Base!$A$5:$B$265, 2, FALSE)</f>
        <v>1370.35</v>
      </c>
      <c r="G50" s="61">
        <f t="shared" si="1"/>
        <v>3.4042397927536765E-2</v>
      </c>
      <c r="H50" s="62">
        <f>Tabla1[[#This Row],[Merval $]]/F50</f>
        <v>1478.4305104535338</v>
      </c>
      <c r="I50" s="63">
        <f t="shared" si="2"/>
        <v>-8.4393726588359169E-2</v>
      </c>
      <c r="J50" s="63">
        <f t="shared" si="2"/>
        <v>-6.1673362893463382E-2</v>
      </c>
      <c r="K50" s="64">
        <f>VLOOKUP(Tabla1[[#This Row],[Fecha]],[1]Base!$N$5:$O$263,2,FALSE)</f>
        <v>960</v>
      </c>
      <c r="O50" t="s">
        <v>152</v>
      </c>
      <c r="P50" s="61">
        <f>STDEV(D10:D254)</f>
        <v>3.5781413363033712E-2</v>
      </c>
      <c r="Q50" s="61">
        <f>STDEV(I10:I254)</f>
        <v>3.7594211172888053E-2</v>
      </c>
      <c r="R50" s="61">
        <f>STDEV(E10:E254)</f>
        <v>2.7062428837113964E-2</v>
      </c>
      <c r="S50" s="61">
        <f>STDEV(J10:J254)</f>
        <v>2.9370397945885189E-2</v>
      </c>
      <c r="V50" t="s">
        <v>34</v>
      </c>
      <c r="W50" t="s">
        <v>146</v>
      </c>
    </row>
    <row r="51" spans="1:23">
      <c r="A51" s="174">
        <v>45751</v>
      </c>
      <c r="B51">
        <v>49.65</v>
      </c>
      <c r="C51" s="60">
        <f>VLOOKUP(Tabla1[[#This Row],[Fecha]],[1]Base!$K$5:$L$249,2,FALSE)</f>
        <v>2107816</v>
      </c>
      <c r="D51" s="56">
        <f t="shared" si="0"/>
        <v>-5.7717729252482586E-2</v>
      </c>
      <c r="E51" s="56">
        <f t="shared" si="0"/>
        <v>-7.6617230586030066E-2</v>
      </c>
      <c r="F51">
        <f>VLOOKUP(A51,[1]Base!$A$5:$B$265, 2, FALSE)</f>
        <v>1340.44</v>
      </c>
      <c r="G51" s="61">
        <f t="shared" si="1"/>
        <v>3.7040076392826235E-2</v>
      </c>
      <c r="H51" s="62">
        <f>Tabla1[[#This Row],[Merval $]]/F51</f>
        <v>1572.4806779863327</v>
      </c>
      <c r="I51" s="63">
        <f t="shared" si="2"/>
        <v>-7.3523401429417601E-2</v>
      </c>
      <c r="J51" s="63">
        <f t="shared" si="2"/>
        <v>-9.2422902762965137E-2</v>
      </c>
      <c r="K51" s="64">
        <f>VLOOKUP(Tabla1[[#This Row],[Fecha]],[1]Base!$N$5:$O$263,2,FALSE)</f>
        <v>925</v>
      </c>
      <c r="O51" t="s">
        <v>148</v>
      </c>
      <c r="P51">
        <f>MIN(Tabla1[AGRO $])</f>
        <v>40.450000000000003</v>
      </c>
      <c r="Q51" s="61">
        <f>MIN(G10:G255)</f>
        <v>3.3430839949853741E-2</v>
      </c>
      <c r="R51" s="64">
        <f>MIN(Tabla1[Merval $])</f>
        <v>1411953.38</v>
      </c>
      <c r="S51" s="61">
        <f>MIN(H10:H255)</f>
        <v>1055.2957083107372</v>
      </c>
      <c r="U51" t="s">
        <v>148</v>
      </c>
      <c r="V51" s="52">
        <f>INDEX(Tabla1[Fecha],MATCH(MIN(Tabla1[Merval $]),Tabla1[Merval $],0))</f>
        <v>45503</v>
      </c>
      <c r="W51" s="52">
        <f>INDEX(Tabla1[Fecha],MATCH(MIN(Tabla1[Merval USD]),Tabla1[Merval USD],0))</f>
        <v>45509</v>
      </c>
    </row>
    <row r="52" spans="1:23">
      <c r="A52" s="174">
        <v>45750</v>
      </c>
      <c r="B52">
        <v>52.6</v>
      </c>
      <c r="C52" s="60">
        <f>VLOOKUP(Tabla1[[#This Row],[Fecha]],[1]Base!$K$5:$L$249,2,FALSE)</f>
        <v>2275658.75</v>
      </c>
      <c r="D52" s="56">
        <f t="shared" si="0"/>
        <v>-3.9147589684271344E-2</v>
      </c>
      <c r="E52" s="56">
        <f t="shared" si="0"/>
        <v>-3.4920945381937074E-2</v>
      </c>
      <c r="F52">
        <f>VLOOKUP(A52,[1]Base!$A$5:$B$265, 2, FALSE)</f>
        <v>1319.42</v>
      </c>
      <c r="G52" s="61">
        <f t="shared" si="1"/>
        <v>3.9866001728032015E-2</v>
      </c>
      <c r="H52" s="62">
        <f>Tabla1[[#This Row],[Merval $]]/F52</f>
        <v>1724.7417425838626</v>
      </c>
      <c r="I52" s="63">
        <f t="shared" si="2"/>
        <v>-4.2906293219907049E-2</v>
      </c>
      <c r="J52" s="63">
        <f t="shared" si="2"/>
        <v>-3.8679648917572758E-2</v>
      </c>
      <c r="K52" s="64">
        <f>VLOOKUP(Tabla1[[#This Row],[Fecha]],[1]Base!$N$5:$O$263,2,FALSE)</f>
        <v>872</v>
      </c>
      <c r="O52" t="s">
        <v>150</v>
      </c>
      <c r="P52">
        <f>MAX(Tabla1[AGRO $])</f>
        <v>84</v>
      </c>
      <c r="Q52" s="61">
        <f>MAX(G10:G255)</f>
        <v>7.7534514014781758E-2</v>
      </c>
      <c r="R52">
        <f>MAX(Tabla1[Merval $])</f>
        <v>2829730.5</v>
      </c>
      <c r="S52" s="61">
        <f>MAX(H10:H255)</f>
        <v>2430.6431939803638</v>
      </c>
      <c r="U52" t="s">
        <v>150</v>
      </c>
      <c r="V52" s="52">
        <f>INDEX(Tabla1[Fecha],MATCH(MAX(Tabla1[Merval $]),Tabla1[Merval $],0))</f>
        <v>45666</v>
      </c>
      <c r="W52" s="52">
        <f>INDEX(Tabla1[Fecha],MATCH(MAX(Tabla1[Merval USD]),Tabla1[Merval USD],0))</f>
        <v>45666</v>
      </c>
    </row>
    <row r="53" spans="1:23">
      <c r="A53" s="174">
        <v>45748</v>
      </c>
      <c r="B53">
        <v>54.7</v>
      </c>
      <c r="C53" s="60">
        <f>VLOOKUP(Tabla1[[#This Row],[Fecha]],[1]Base!$K$5:$L$249,2,FALSE)</f>
        <v>2356530.75</v>
      </c>
      <c r="D53" s="56">
        <f t="shared" si="0"/>
        <v>-1.8264845260341873E-3</v>
      </c>
      <c r="E53" s="56">
        <f t="shared" si="0"/>
        <v>7.5693212418049341E-3</v>
      </c>
      <c r="F53">
        <f>VLOOKUP(A53,[1]Base!$A$5:$B$265, 2, FALSE)</f>
        <v>1314.47</v>
      </c>
      <c r="G53" s="61">
        <f t="shared" si="1"/>
        <v>4.1613730248693394E-2</v>
      </c>
      <c r="H53" s="62">
        <f>Tabla1[[#This Row],[Merval $]]/F53</f>
        <v>1792.7611508821046</v>
      </c>
      <c r="I53" s="63">
        <f t="shared" si="2"/>
        <v>-2.2069383359221931E-3</v>
      </c>
      <c r="J53" s="63">
        <f t="shared" si="2"/>
        <v>7.1888674319169127E-3</v>
      </c>
      <c r="K53" s="64">
        <f>VLOOKUP(Tabla1[[#This Row],[Fecha]],[1]Base!$N$5:$O$263,2,FALSE)</f>
        <v>823</v>
      </c>
      <c r="O53" t="s">
        <v>47</v>
      </c>
      <c r="P53" s="62" cm="1">
        <f t="array" ref="P53">INDEX(LINEST(D10:D254,E10:E254),1)</f>
        <v>0.87767650557893551</v>
      </c>
      <c r="Q53" s="62" cm="1">
        <f t="array" ref="Q53">INDEX(LINEST(I10:I254,J10:J254),1)</f>
        <v>0.89453208622622526</v>
      </c>
    </row>
    <row r="54" spans="1:23">
      <c r="A54" s="174">
        <v>45747</v>
      </c>
      <c r="B54">
        <v>54.8</v>
      </c>
      <c r="C54" s="60">
        <f>VLOOKUP(Tabla1[[#This Row],[Fecha]],[1]Base!$K$5:$L$249,2,FALSE)</f>
        <v>2338760.75</v>
      </c>
      <c r="D54" s="56">
        <f t="shared" si="0"/>
        <v>-2.5226562945675685E-2</v>
      </c>
      <c r="E54" s="56">
        <f t="shared" si="0"/>
        <v>-1.6875223647761312E-2</v>
      </c>
      <c r="F54">
        <f>VLOOKUP(A54,[1]Base!$A$5:$B$265, 2, FALSE)</f>
        <v>1313.97</v>
      </c>
      <c r="G54" s="61">
        <f t="shared" si="1"/>
        <v>4.1705670601307483E-2</v>
      </c>
      <c r="H54" s="62">
        <f>Tabla1[[#This Row],[Merval $]]/F54</f>
        <v>1779.9194426052345</v>
      </c>
      <c r="I54" s="63">
        <f t="shared" si="2"/>
        <v>-3.4040223372002562E-2</v>
      </c>
      <c r="J54" s="63">
        <f t="shared" si="2"/>
        <v>-2.5688884074088172E-2</v>
      </c>
      <c r="K54" s="64">
        <f>VLOOKUP(Tabla1[[#This Row],[Fecha]],[1]Base!$N$5:$O$263,2,FALSE)</f>
        <v>816</v>
      </c>
    </row>
    <row r="55" spans="1:23">
      <c r="A55" s="174">
        <v>45744</v>
      </c>
      <c r="B55">
        <v>56.2</v>
      </c>
      <c r="C55" s="60">
        <f>VLOOKUP(Tabla1[[#This Row],[Fecha]],[1]Base!$K$5:$L$249,2,FALSE)</f>
        <v>2378562.75</v>
      </c>
      <c r="D55" s="56">
        <f t="shared" si="0"/>
        <v>-3.3248906958220102E-2</v>
      </c>
      <c r="E55" s="56">
        <f t="shared" si="0"/>
        <v>-1.3993648964657357E-2</v>
      </c>
      <c r="F55">
        <f>VLOOKUP(A55,[1]Base!$A$5:$B$265, 2, FALSE)</f>
        <v>1302.44</v>
      </c>
      <c r="G55" s="61">
        <f t="shared" si="1"/>
        <v>4.3149780412149508E-2</v>
      </c>
      <c r="H55" s="62">
        <f>Tabla1[[#This Row],[Merval $]]/F55</f>
        <v>1826.2359494487268</v>
      </c>
      <c r="I55" s="63">
        <f t="shared" si="2"/>
        <v>-4.107249690568078E-2</v>
      </c>
      <c r="J55" s="63">
        <f t="shared" si="2"/>
        <v>-2.1817238912118158E-2</v>
      </c>
      <c r="K55" s="64">
        <f>VLOOKUP(Tabla1[[#This Row],[Fecha]],[1]Base!$N$5:$O$263,2,FALSE)</f>
        <v>797</v>
      </c>
    </row>
    <row r="56" spans="1:23">
      <c r="A56" s="174">
        <v>45743</v>
      </c>
      <c r="B56">
        <v>58.1</v>
      </c>
      <c r="C56" s="60">
        <f>VLOOKUP(Tabla1[[#This Row],[Fecha]],[1]Base!$K$5:$L$249,2,FALSE)</f>
        <v>2412081.5</v>
      </c>
      <c r="D56" s="56">
        <f t="shared" si="0"/>
        <v>-6.8610903799452404E-3</v>
      </c>
      <c r="E56" s="56">
        <f t="shared" si="0"/>
        <v>-1.149413956174301E-2</v>
      </c>
      <c r="F56">
        <f>VLOOKUP(A56,[1]Base!$A$5:$B$265, 2, FALSE)</f>
        <v>1292.29</v>
      </c>
      <c r="G56" s="61">
        <f t="shared" si="1"/>
        <v>4.495894884275202E-2</v>
      </c>
      <c r="H56" s="62">
        <f>Tabla1[[#This Row],[Merval $]]/F56</f>
        <v>1866.5171904139165</v>
      </c>
      <c r="I56" s="63">
        <f t="shared" si="2"/>
        <v>-4.2798654159141112E-3</v>
      </c>
      <c r="J56" s="63">
        <f t="shared" si="2"/>
        <v>-8.9129145977118948E-3</v>
      </c>
      <c r="K56" s="64">
        <f>VLOOKUP(Tabla1[[#This Row],[Fecha]],[1]Base!$N$5:$O$263,2,FALSE)</f>
        <v>759</v>
      </c>
    </row>
    <row r="57" spans="1:23">
      <c r="A57" s="174">
        <v>45742</v>
      </c>
      <c r="B57">
        <v>58.5</v>
      </c>
      <c r="C57" s="60">
        <f>VLOOKUP(Tabla1[[#This Row],[Fecha]],[1]Base!$K$5:$L$249,2,FALSE)</f>
        <v>2439966.25</v>
      </c>
      <c r="D57" s="56">
        <f t="shared" si="0"/>
        <v>-2.0305266160745683E-2</v>
      </c>
      <c r="E57" s="56">
        <f t="shared" si="0"/>
        <v>-1.9366241504186112E-2</v>
      </c>
      <c r="F57">
        <f>VLOOKUP(A57,[1]Base!$A$5:$B$265, 2, FALSE)</f>
        <v>1295.6300000000001</v>
      </c>
      <c r="G57" s="61">
        <f t="shared" si="1"/>
        <v>4.5151779443205232E-2</v>
      </c>
      <c r="H57" s="62">
        <f>Tabla1[[#This Row],[Merval $]]/F57</f>
        <v>1883.2276575874284</v>
      </c>
      <c r="I57" s="63">
        <f t="shared" si="2"/>
        <v>-2.1332321036291922E-2</v>
      </c>
      <c r="J57" s="63">
        <f t="shared" si="2"/>
        <v>-2.0393296379732414E-2</v>
      </c>
      <c r="K57" s="64">
        <f>VLOOKUP(Tabla1[[#This Row],[Fecha]],[1]Base!$N$5:$O$263,2,FALSE)</f>
        <v>769</v>
      </c>
    </row>
    <row r="58" spans="1:23">
      <c r="A58" s="174">
        <v>45741</v>
      </c>
      <c r="B58">
        <v>59.7</v>
      </c>
      <c r="C58" s="60">
        <f>VLOOKUP(Tabla1[[#This Row],[Fecha]],[1]Base!$K$5:$L$249,2,FALSE)</f>
        <v>2487679.75</v>
      </c>
      <c r="D58" s="56">
        <f t="shared" si="0"/>
        <v>-8.3403319162189508E-3</v>
      </c>
      <c r="E58" s="56">
        <f t="shared" si="0"/>
        <v>2.2004180477077192E-2</v>
      </c>
      <c r="F58">
        <f>VLOOKUP(A58,[1]Base!$A$5:$B$265, 2, FALSE)</f>
        <v>1294.3</v>
      </c>
      <c r="G58" s="61">
        <f t="shared" si="1"/>
        <v>4.612531870509156E-2</v>
      </c>
      <c r="H58" s="62">
        <f>Tabla1[[#This Row],[Merval $]]/F58</f>
        <v>1922.0271575368927</v>
      </c>
      <c r="I58" s="63">
        <f t="shared" si="2"/>
        <v>-1.3825486206150822E-2</v>
      </c>
      <c r="J58" s="63">
        <f t="shared" si="2"/>
        <v>1.6519026187145382E-2</v>
      </c>
      <c r="K58" s="64">
        <f>VLOOKUP(Tabla1[[#This Row],[Fecha]],[1]Base!$N$5:$O$263,2,FALSE)</f>
        <v>761</v>
      </c>
    </row>
    <row r="59" spans="1:23">
      <c r="A59" s="174">
        <v>45737</v>
      </c>
      <c r="B59">
        <v>60.2</v>
      </c>
      <c r="C59" s="60">
        <f>VLOOKUP(Tabla1[[#This Row],[Fecha]],[1]Base!$K$5:$L$249,2,FALSE)</f>
        <v>2433538.25</v>
      </c>
      <c r="D59" s="56">
        <f t="shared" si="0"/>
        <v>3.7229341768355982E-2</v>
      </c>
      <c r="E59" s="56">
        <f t="shared" si="0"/>
        <v>3.0014111380721995E-2</v>
      </c>
      <c r="F59">
        <f>VLOOKUP(A59,[1]Base!$A$5:$B$265, 2, FALSE)</f>
        <v>1287.22</v>
      </c>
      <c r="G59" s="61">
        <f t="shared" si="1"/>
        <v>4.6767452339149487E-2</v>
      </c>
      <c r="H59" s="62">
        <f>Tabla1[[#This Row],[Merval $]]/F59</f>
        <v>1890.5379422320971</v>
      </c>
      <c r="I59" s="63">
        <f t="shared" si="2"/>
        <v>3.7516741617313248E-2</v>
      </c>
      <c r="J59" s="63">
        <f t="shared" si="2"/>
        <v>3.0301511229679032E-2</v>
      </c>
      <c r="K59" s="64">
        <f>VLOOKUP(Tabla1[[#This Row],[Fecha]],[1]Base!$N$5:$O$263,2,FALSE)</f>
        <v>769</v>
      </c>
    </row>
    <row r="60" spans="1:23">
      <c r="A60" s="174">
        <v>45736</v>
      </c>
      <c r="B60">
        <v>58</v>
      </c>
      <c r="C60" s="60">
        <f>VLOOKUP(Tabla1[[#This Row],[Fecha]],[1]Base!$K$5:$L$249,2,FALSE)</f>
        <v>2361583</v>
      </c>
      <c r="D60" s="56">
        <f t="shared" si="0"/>
        <v>-3.2233494574984312E-2</v>
      </c>
      <c r="E60" s="56">
        <f t="shared" si="0"/>
        <v>-1.2810220927135792E-2</v>
      </c>
      <c r="F60">
        <f>VLOOKUP(A60,[1]Base!$A$5:$B$265, 2, FALSE)</f>
        <v>1287.5899999999999</v>
      </c>
      <c r="G60" s="61">
        <f t="shared" si="1"/>
        <v>4.5045394885017749E-2</v>
      </c>
      <c r="H60" s="62">
        <f>Tabla1[[#This Row],[Merval $]]/F60</f>
        <v>1834.1110135990496</v>
      </c>
      <c r="I60" s="63">
        <f t="shared" si="2"/>
        <v>-3.3173676542241494E-2</v>
      </c>
      <c r="J60" s="63">
        <f t="shared" si="2"/>
        <v>-1.3750402894393065E-2</v>
      </c>
      <c r="K60" s="64">
        <f>VLOOKUP(Tabla1[[#This Row],[Fecha]],[1]Base!$N$5:$O$263,2,FALSE)</f>
        <v>762</v>
      </c>
    </row>
    <row r="61" spans="1:23">
      <c r="A61" s="174">
        <v>45735</v>
      </c>
      <c r="B61">
        <v>59.9</v>
      </c>
      <c r="C61" s="60">
        <f>VLOOKUP(Tabla1[[#This Row],[Fecha]],[1]Base!$K$5:$L$249,2,FALSE)</f>
        <v>2392030</v>
      </c>
      <c r="D61" s="56">
        <f t="shared" si="0"/>
        <v>1.3445580709351118E-2</v>
      </c>
      <c r="E61" s="56">
        <f t="shared" si="0"/>
        <v>4.4229192079110226E-2</v>
      </c>
      <c r="F61">
        <f>VLOOKUP(A61,[1]Base!$A$5:$B$265, 2, FALSE)</f>
        <v>1286.3800000000001</v>
      </c>
      <c r="G61" s="61">
        <f t="shared" si="1"/>
        <v>4.6564778681260584E-2</v>
      </c>
      <c r="H61" s="62">
        <f>Tabla1[[#This Row],[Merval $]]/F61</f>
        <v>1859.504967427976</v>
      </c>
      <c r="I61" s="63">
        <f t="shared" si="2"/>
        <v>2.3454559343283127E-2</v>
      </c>
      <c r="J61" s="63">
        <f t="shared" si="2"/>
        <v>5.4238170713042239E-2</v>
      </c>
      <c r="K61" s="64">
        <f>VLOOKUP(Tabla1[[#This Row],[Fecha]],[1]Base!$N$5:$O$263,2,FALSE)</f>
        <v>777</v>
      </c>
    </row>
    <row r="62" spans="1:23">
      <c r="A62" s="174">
        <v>45734</v>
      </c>
      <c r="B62">
        <v>59.1</v>
      </c>
      <c r="C62" s="60">
        <f>VLOOKUP(Tabla1[[#This Row],[Fecha]],[1]Base!$K$5:$L$249,2,FALSE)</f>
        <v>2288538</v>
      </c>
      <c r="D62" s="56">
        <f t="shared" si="0"/>
        <v>-3.1642939761258676E-2</v>
      </c>
      <c r="E62" s="56">
        <f t="shared" si="0"/>
        <v>-2.4928777670411812E-2</v>
      </c>
      <c r="F62">
        <f>VLOOKUP(A62,[1]Base!$A$5:$B$265, 2, FALSE)</f>
        <v>1299.32</v>
      </c>
      <c r="G62" s="61">
        <f t="shared" si="1"/>
        <v>4.5485330788412402E-2</v>
      </c>
      <c r="H62" s="62">
        <f>Tabla1[[#This Row],[Merval $]]/F62</f>
        <v>1761.3351599298096</v>
      </c>
      <c r="I62" s="63">
        <f t="shared" si="2"/>
        <v>-6.9868550495965506E-2</v>
      </c>
      <c r="J62" s="63">
        <f t="shared" si="2"/>
        <v>-6.3154388405118389E-2</v>
      </c>
      <c r="K62" s="64">
        <f>VLOOKUP(Tabla1[[#This Row],[Fecha]],[1]Base!$N$5:$O$263,2,FALSE)</f>
        <v>787</v>
      </c>
    </row>
    <row r="63" spans="1:23">
      <c r="A63" s="174">
        <v>45733</v>
      </c>
      <c r="B63">
        <v>61</v>
      </c>
      <c r="C63" s="60">
        <f>VLOOKUP(Tabla1[[#This Row],[Fecha]],[1]Base!$K$5:$L$249,2,FALSE)</f>
        <v>2346305.5</v>
      </c>
      <c r="D63" s="56">
        <f t="shared" si="0"/>
        <v>2.8264558169631422E-2</v>
      </c>
      <c r="E63" s="56">
        <f t="shared" si="0"/>
        <v>4.5839569647806756E-3</v>
      </c>
      <c r="F63">
        <f>VLOOKUP(A63,[1]Base!$A$5:$B$265, 2, FALSE)</f>
        <v>1250.5899999999999</v>
      </c>
      <c r="G63" s="61">
        <f t="shared" si="1"/>
        <v>4.8776977266730109E-2</v>
      </c>
      <c r="H63" s="62">
        <f>Tabla1[[#This Row],[Merval $]]/F63</f>
        <v>1876.1588530213739</v>
      </c>
      <c r="I63" s="63">
        <f t="shared" si="2"/>
        <v>1.7968570705826262E-2</v>
      </c>
      <c r="J63" s="63">
        <f t="shared" si="2"/>
        <v>-5.7120304990247025E-3</v>
      </c>
      <c r="K63" s="64">
        <f>VLOOKUP(Tabla1[[#This Row],[Fecha]],[1]Base!$N$5:$O$263,2,FALSE)</f>
        <v>750</v>
      </c>
    </row>
    <row r="64" spans="1:23">
      <c r="A64" s="174">
        <v>45730</v>
      </c>
      <c r="B64">
        <v>59.3</v>
      </c>
      <c r="C64" s="60">
        <f>VLOOKUP(Tabla1[[#This Row],[Fecha]],[1]Base!$K$5:$L$249,2,FALSE)</f>
        <v>2335574.75</v>
      </c>
      <c r="D64" s="56">
        <f t="shared" si="0"/>
        <v>4.8368667851284457E-2</v>
      </c>
      <c r="E64" s="56">
        <f t="shared" si="0"/>
        <v>4.5279320013569775E-2</v>
      </c>
      <c r="F64">
        <f>VLOOKUP(A64,[1]Base!$A$5:$B$265, 2, FALSE)</f>
        <v>1237.78</v>
      </c>
      <c r="G64" s="61">
        <f t="shared" si="1"/>
        <v>4.7908352049637254E-2</v>
      </c>
      <c r="H64" s="62">
        <f>Tabla1[[#This Row],[Merval $]]/F64</f>
        <v>1886.9061949619481</v>
      </c>
      <c r="I64" s="63">
        <f t="shared" si="2"/>
        <v>4.4945406586421363E-2</v>
      </c>
      <c r="J64" s="63">
        <f t="shared" si="2"/>
        <v>4.1856058748706661E-2</v>
      </c>
      <c r="K64" s="64">
        <f>VLOOKUP(Tabla1[[#This Row],[Fecha]],[1]Base!$N$5:$O$263,2,FALSE)</f>
        <v>737</v>
      </c>
    </row>
    <row r="65" spans="1:11">
      <c r="A65" s="174">
        <v>45729</v>
      </c>
      <c r="B65">
        <v>56.5</v>
      </c>
      <c r="C65" s="60">
        <f>VLOOKUP(Tabla1[[#This Row],[Fecha]],[1]Base!$K$5:$L$249,2,FALSE)</f>
        <v>2232180</v>
      </c>
      <c r="D65" s="56">
        <f t="shared" si="0"/>
        <v>-3.5335725813111273E-3</v>
      </c>
      <c r="E65" s="56">
        <f t="shared" si="0"/>
        <v>-1.8094031393728071E-2</v>
      </c>
      <c r="F65">
        <f>VLOOKUP(A65,[1]Base!$A$5:$B$265, 2, FALSE)</f>
        <v>1233.55</v>
      </c>
      <c r="G65" s="61">
        <f t="shared" si="1"/>
        <v>4.5802764379230677E-2</v>
      </c>
      <c r="H65" s="62">
        <f>Tabla1[[#This Row],[Merval $]]/F65</f>
        <v>1809.5577803899316</v>
      </c>
      <c r="I65" s="63">
        <f t="shared" si="2"/>
        <v>-6.9523238048657208E-3</v>
      </c>
      <c r="J65" s="63">
        <f t="shared" si="2"/>
        <v>-2.1512782617282563E-2</v>
      </c>
      <c r="K65" s="64">
        <f>VLOOKUP(Tabla1[[#This Row],[Fecha]],[1]Base!$N$5:$O$263,2,FALSE)</f>
        <v>748</v>
      </c>
    </row>
    <row r="66" spans="1:11">
      <c r="A66" s="174">
        <v>45728</v>
      </c>
      <c r="B66">
        <v>56.7</v>
      </c>
      <c r="C66" s="60">
        <f>VLOOKUP(Tabla1[[#This Row],[Fecha]],[1]Base!$K$5:$L$249,2,FALSE)</f>
        <v>2272936.75</v>
      </c>
      <c r="D66" s="56">
        <f t="shared" si="0"/>
        <v>5.436120921888743E-2</v>
      </c>
      <c r="E66" s="56">
        <f t="shared" si="0"/>
        <v>5.11961201713634E-2</v>
      </c>
      <c r="F66">
        <f>VLOOKUP(A66,[1]Base!$A$5:$B$265, 2, FALSE)</f>
        <v>1229.3399999999999</v>
      </c>
      <c r="G66" s="61">
        <f t="shared" si="1"/>
        <v>4.6122309531943975E-2</v>
      </c>
      <c r="H66" s="62">
        <f>Tabla1[[#This Row],[Merval $]]/F66</f>
        <v>1848.9081539687963</v>
      </c>
      <c r="I66" s="63">
        <f t="shared" si="2"/>
        <v>5.5206833974529412E-2</v>
      </c>
      <c r="J66" s="63">
        <f t="shared" si="2"/>
        <v>5.2041744927005397E-2</v>
      </c>
      <c r="K66" s="64">
        <f>VLOOKUP(Tabla1[[#This Row],[Fecha]],[1]Base!$N$5:$O$263,2,FALSE)</f>
        <v>718</v>
      </c>
    </row>
    <row r="67" spans="1:11">
      <c r="A67" s="174">
        <v>45727</v>
      </c>
      <c r="B67">
        <v>53.7</v>
      </c>
      <c r="C67" s="60">
        <f>VLOOKUP(Tabla1[[#This Row],[Fecha]],[1]Base!$K$5:$L$249,2,FALSE)</f>
        <v>2159499.75</v>
      </c>
      <c r="D67" s="56">
        <f t="shared" si="0"/>
        <v>3.2169282933391753E-2</v>
      </c>
      <c r="E67" s="56">
        <f t="shared" si="0"/>
        <v>9.61004951714051E-3</v>
      </c>
      <c r="F67">
        <f>VLOOKUP(A67,[1]Base!$A$5:$B$265, 2, FALSE)</f>
        <v>1230.3800000000001</v>
      </c>
      <c r="G67" s="61">
        <f t="shared" si="1"/>
        <v>4.3645052747931533E-2</v>
      </c>
      <c r="H67" s="62">
        <f>Tabla1[[#This Row],[Merval $]]/F67</f>
        <v>1755.1486126237421</v>
      </c>
      <c r="I67" s="63">
        <f t="shared" si="2"/>
        <v>3.0981953065933602E-2</v>
      </c>
      <c r="J67" s="63">
        <f t="shared" si="2"/>
        <v>8.4227196496823135E-3</v>
      </c>
      <c r="K67" s="64">
        <f>VLOOKUP(Tabla1[[#This Row],[Fecha]],[1]Base!$N$5:$O$263,2,FALSE)</f>
        <v>723</v>
      </c>
    </row>
    <row r="68" spans="1:11">
      <c r="A68" s="174">
        <v>45726</v>
      </c>
      <c r="B68">
        <v>52</v>
      </c>
      <c r="C68" s="60">
        <f>VLOOKUP(Tabla1[[#This Row],[Fecha]],[1]Base!$K$5:$L$249,2,FALSE)</f>
        <v>2138846.25</v>
      </c>
      <c r="D68" s="56">
        <f t="shared" si="0"/>
        <v>-5.7905997577441526E-2</v>
      </c>
      <c r="E68" s="56">
        <f t="shared" si="0"/>
        <v>-5.6110694948087174E-2</v>
      </c>
      <c r="F68">
        <f>VLOOKUP(A68,[1]Base!$A$5:$B$265, 2, FALSE)</f>
        <v>1228.92</v>
      </c>
      <c r="G68" s="61">
        <f t="shared" si="1"/>
        <v>4.2313576148162613E-2</v>
      </c>
      <c r="H68" s="62">
        <f>Tabla1[[#This Row],[Merval $]]/F68</f>
        <v>1740.427570549751</v>
      </c>
      <c r="I68" s="63">
        <f t="shared" si="2"/>
        <v>-6.3610156504378637E-2</v>
      </c>
      <c r="J68" s="63">
        <f t="shared" si="2"/>
        <v>-6.1814853875024514E-2</v>
      </c>
      <c r="K68" s="64">
        <f>VLOOKUP(Tabla1[[#This Row],[Fecha]],[1]Base!$N$5:$O$263,2,FALSE)</f>
        <v>723</v>
      </c>
    </row>
    <row r="69" spans="1:11">
      <c r="A69" s="174">
        <v>45723</v>
      </c>
      <c r="B69">
        <v>55.1</v>
      </c>
      <c r="C69" s="60">
        <f>VLOOKUP(Tabla1[[#This Row],[Fecha]],[1]Base!$K$5:$L$249,2,FALSE)</f>
        <v>2262289.25</v>
      </c>
      <c r="D69" s="56">
        <f t="shared" si="0"/>
        <v>-2.3319442345144416E-2</v>
      </c>
      <c r="E69" s="56">
        <f t="shared" si="0"/>
        <v>-3.4824310387619618E-3</v>
      </c>
      <c r="F69">
        <f>VLOOKUP(A69,[1]Base!$A$5:$B$265, 2, FALSE)</f>
        <v>1221.93</v>
      </c>
      <c r="G69" s="61">
        <f t="shared" si="1"/>
        <v>4.5092599412404961E-2</v>
      </c>
      <c r="H69" s="62">
        <f>Tabla1[[#This Row],[Merval $]]/F69</f>
        <v>1851.4065863019975</v>
      </c>
      <c r="I69" s="63">
        <f t="shared" si="2"/>
        <v>-1.0366936065644422E-2</v>
      </c>
      <c r="J69" s="63">
        <f t="shared" si="2"/>
        <v>9.4700752407380819E-3</v>
      </c>
      <c r="K69" s="64">
        <f>VLOOKUP(Tabla1[[#This Row],[Fecha]],[1]Base!$N$5:$O$263,2,FALSE)</f>
        <v>692</v>
      </c>
    </row>
    <row r="70" spans="1:11">
      <c r="A70" s="174">
        <v>45722</v>
      </c>
      <c r="B70">
        <v>56.4</v>
      </c>
      <c r="C70" s="60">
        <f>VLOOKUP(Tabla1[[#This Row],[Fecha]],[1]Base!$K$5:$L$249,2,FALSE)</f>
        <v>2270181.25</v>
      </c>
      <c r="D70" s="56">
        <f t="shared" si="0"/>
        <v>-1.7714796483821156E-3</v>
      </c>
      <c r="E70" s="56">
        <f t="shared" si="0"/>
        <v>-8.7139772681421694E-3</v>
      </c>
      <c r="F70">
        <f>VLOOKUP(A70,[1]Base!$A$5:$B$265, 2, FALSE)</f>
        <v>1237.8599999999999</v>
      </c>
      <c r="G70" s="61">
        <f t="shared" si="1"/>
        <v>4.5562503029421747E-2</v>
      </c>
      <c r="H70" s="62">
        <f>Tabla1[[#This Row],[Merval $]]/F70</f>
        <v>1833.9563844053448</v>
      </c>
      <c r="I70" s="63">
        <f t="shared" si="2"/>
        <v>-3.8336111667426329E-3</v>
      </c>
      <c r="J70" s="63">
        <f t="shared" si="2"/>
        <v>-1.0776108786502765E-2</v>
      </c>
      <c r="K70" s="64">
        <f>VLOOKUP(Tabla1[[#This Row],[Fecha]],[1]Base!$N$5:$O$263,2,FALSE)</f>
        <v>714</v>
      </c>
    </row>
    <row r="71" spans="1:11">
      <c r="A71" s="174">
        <v>45721</v>
      </c>
      <c r="B71">
        <v>56.5</v>
      </c>
      <c r="C71" s="60">
        <f>VLOOKUP(Tabla1[[#This Row],[Fecha]],[1]Base!$K$5:$L$249,2,FALSE)</f>
        <v>2290050</v>
      </c>
      <c r="D71" s="56">
        <f t="shared" si="0"/>
        <v>6.394872460027351E-2</v>
      </c>
      <c r="E71" s="56">
        <f t="shared" si="0"/>
        <v>3.7483169823911019E-2</v>
      </c>
      <c r="F71">
        <f>VLOOKUP(A71,[1]Base!$A$5:$B$265, 2, FALSE)</f>
        <v>1235.31</v>
      </c>
      <c r="G71" s="61">
        <f t="shared" si="1"/>
        <v>4.5737507184431439E-2</v>
      </c>
      <c r="H71" s="62">
        <f>Tabla1[[#This Row],[Merval $]]/F71</f>
        <v>1853.8261650921631</v>
      </c>
      <c r="I71" s="63">
        <f t="shared" si="2"/>
        <v>5.8404406703157531E-2</v>
      </c>
      <c r="J71" s="63">
        <f t="shared" si="2"/>
        <v>3.1938851926795263E-2</v>
      </c>
      <c r="K71" s="64">
        <f>VLOOKUP(Tabla1[[#This Row],[Fecha]],[1]Base!$N$5:$O$263,2,FALSE)</f>
        <v>717</v>
      </c>
    </row>
    <row r="72" spans="1:11">
      <c r="A72" s="174">
        <v>45716</v>
      </c>
      <c r="B72">
        <v>53</v>
      </c>
      <c r="C72" s="60">
        <f>VLOOKUP(Tabla1[[#This Row],[Fecha]],[1]Base!$K$5:$L$249,2,FALSE)</f>
        <v>2205800.5</v>
      </c>
      <c r="D72" s="56">
        <f t="shared" si="0"/>
        <v>5.6764580048051221E-3</v>
      </c>
      <c r="E72" s="56">
        <f t="shared" si="0"/>
        <v>5.5205813589345428E-3</v>
      </c>
      <c r="F72">
        <f>VLOOKUP(A72,[1]Base!$A$5:$B$265, 2, FALSE)</f>
        <v>1228.48</v>
      </c>
      <c r="G72" s="61">
        <f t="shared" si="1"/>
        <v>4.3142745506642356E-2</v>
      </c>
      <c r="H72" s="62">
        <f>Tabla1[[#This Row],[Merval $]]/F72</f>
        <v>1795.5526341495181</v>
      </c>
      <c r="I72" s="63">
        <f t="shared" si="2"/>
        <v>-5.1184433856927992E-3</v>
      </c>
      <c r="J72" s="63">
        <f t="shared" si="2"/>
        <v>-5.2743200315633898E-3</v>
      </c>
      <c r="K72" s="64">
        <f>VLOOKUP(Tabla1[[#This Row],[Fecha]],[1]Base!$N$5:$O$263,2,FALSE)</f>
        <v>780</v>
      </c>
    </row>
    <row r="73" spans="1:11">
      <c r="A73" s="174">
        <v>45715</v>
      </c>
      <c r="B73">
        <v>52.7</v>
      </c>
      <c r="C73" s="60">
        <f>VLOOKUP(Tabla1[[#This Row],[Fecha]],[1]Base!$K$5:$L$249,2,FALSE)</f>
        <v>2193656.75</v>
      </c>
      <c r="D73" s="56">
        <f t="shared" si="0"/>
        <v>-3.7248253880618934E-2</v>
      </c>
      <c r="E73" s="56">
        <f t="shared" si="0"/>
        <v>-3.6426305912517234E-2</v>
      </c>
      <c r="F73">
        <f>VLOOKUP(A73,[1]Base!$A$5:$B$265, 2, FALSE)</f>
        <v>1215.29</v>
      </c>
      <c r="G73" s="61">
        <f t="shared" si="1"/>
        <v>4.3364135309267748E-2</v>
      </c>
      <c r="H73" s="62">
        <f>Tabla1[[#This Row],[Merval $]]/F73</f>
        <v>1805.0479720889664</v>
      </c>
      <c r="I73" s="63">
        <f t="shared" si="2"/>
        <v>-4.0322199890556576E-2</v>
      </c>
      <c r="J73" s="63">
        <f t="shared" si="2"/>
        <v>-3.9500251922454779E-2</v>
      </c>
      <c r="K73" s="64">
        <f>VLOOKUP(Tabla1[[#This Row],[Fecha]],[1]Base!$N$5:$O$263,2,FALSE)</f>
        <v>769</v>
      </c>
    </row>
    <row r="74" spans="1:11">
      <c r="A74" s="174">
        <v>45714</v>
      </c>
      <c r="B74">
        <v>54.7</v>
      </c>
      <c r="C74" s="60">
        <f>VLOOKUP(Tabla1[[#This Row],[Fecha]],[1]Base!$K$5:$L$249,2,FALSE)</f>
        <v>2275036.75</v>
      </c>
      <c r="D74" s="56">
        <f t="shared" ref="D74:E137" si="5">LN(B74/B75)</f>
        <v>-5.4694758045353209E-3</v>
      </c>
      <c r="E74" s="56">
        <f t="shared" si="5"/>
        <v>-3.4498109055140598E-3</v>
      </c>
      <c r="F74">
        <f>VLOOKUP(A74,[1]Base!$A$5:$B$265, 2, FALSE)</f>
        <v>1211.56</v>
      </c>
      <c r="G74" s="61">
        <f t="shared" ref="G74:G137" si="6">B74/F74</f>
        <v>4.5148403710918161E-2</v>
      </c>
      <c r="H74" s="62">
        <f>Tabla1[[#This Row],[Merval $]]/F74</f>
        <v>1877.7747284492721</v>
      </c>
      <c r="I74" s="63">
        <f t="shared" si="2"/>
        <v>-5.1393774322237773E-3</v>
      </c>
      <c r="J74" s="63">
        <f t="shared" si="2"/>
        <v>-3.1197125332025678E-3</v>
      </c>
      <c r="K74" s="64">
        <f>VLOOKUP(Tabla1[[#This Row],[Fecha]],[1]Base!$N$5:$O$263,2,FALSE)</f>
        <v>749</v>
      </c>
    </row>
    <row r="75" spans="1:11">
      <c r="A75" s="174">
        <v>45713</v>
      </c>
      <c r="B75">
        <v>55</v>
      </c>
      <c r="C75" s="60">
        <f>VLOOKUP(Tabla1[[#This Row],[Fecha]],[1]Base!$K$5:$L$249,2,FALSE)</f>
        <v>2282898.75</v>
      </c>
      <c r="D75" s="56">
        <f t="shared" si="5"/>
        <v>-5.4832478625394705E-2</v>
      </c>
      <c r="E75" s="56">
        <f t="shared" si="5"/>
        <v>-2.8287589450825861E-2</v>
      </c>
      <c r="F75">
        <f>VLOOKUP(A75,[1]Base!$A$5:$B$265, 2, FALSE)</f>
        <v>1211.96</v>
      </c>
      <c r="G75" s="61">
        <f t="shared" si="6"/>
        <v>4.5381035677745138E-2</v>
      </c>
      <c r="H75" s="62">
        <f>Tabla1[[#This Row],[Merval $]]/F75</f>
        <v>1883.641993135087</v>
      </c>
      <c r="I75" s="63">
        <f t="shared" ref="I75:J138" si="7">LN(G75/G76)</f>
        <v>-5.8535819167144169E-2</v>
      </c>
      <c r="J75" s="63">
        <f t="shared" si="7"/>
        <v>-3.1990929992575384E-2</v>
      </c>
      <c r="K75" s="64">
        <f>VLOOKUP(Tabla1[[#This Row],[Fecha]],[1]Base!$N$5:$O$263,2,FALSE)</f>
        <v>748</v>
      </c>
    </row>
    <row r="76" spans="1:11">
      <c r="A76" s="174">
        <v>45712</v>
      </c>
      <c r="B76">
        <v>58.1</v>
      </c>
      <c r="C76" s="60">
        <f>VLOOKUP(Tabla1[[#This Row],[Fecha]],[1]Base!$K$5:$L$249,2,FALSE)</f>
        <v>2348398.5</v>
      </c>
      <c r="D76" s="56">
        <f t="shared" si="5"/>
        <v>-1.3675426799675382E-2</v>
      </c>
      <c r="E76" s="56">
        <f t="shared" si="5"/>
        <v>-6.8454527596459478E-3</v>
      </c>
      <c r="F76">
        <f>VLOOKUP(A76,[1]Base!$A$5:$B$265, 2, FALSE)</f>
        <v>1207.48</v>
      </c>
      <c r="G76" s="61">
        <f t="shared" si="6"/>
        <v>4.8116738993606523E-2</v>
      </c>
      <c r="H76" s="62">
        <f>Tabla1[[#This Row],[Merval $]]/F76</f>
        <v>1944.875691522841</v>
      </c>
      <c r="I76" s="63">
        <f t="shared" si="7"/>
        <v>-1.5001379193367017E-2</v>
      </c>
      <c r="J76" s="63">
        <f t="shared" si="7"/>
        <v>-8.171405153337535E-3</v>
      </c>
      <c r="K76" s="64">
        <f>VLOOKUP(Tabla1[[#This Row],[Fecha]],[1]Base!$N$5:$O$263,2,FALSE)</f>
        <v>730</v>
      </c>
    </row>
    <row r="77" spans="1:11">
      <c r="A77" s="174">
        <v>45709</v>
      </c>
      <c r="B77">
        <v>58.9</v>
      </c>
      <c r="C77" s="60">
        <f>VLOOKUP(Tabla1[[#This Row],[Fecha]],[1]Base!$K$5:$L$249,2,FALSE)</f>
        <v>2364529.5</v>
      </c>
      <c r="D77" s="56">
        <f t="shared" si="5"/>
        <v>-1.1814483413763122E-2</v>
      </c>
      <c r="E77" s="56">
        <f t="shared" si="5"/>
        <v>-1.9139385308493288E-2</v>
      </c>
      <c r="F77">
        <f>VLOOKUP(A77,[1]Base!$A$5:$B$265, 2, FALSE)</f>
        <v>1205.8800000000001</v>
      </c>
      <c r="G77" s="61">
        <f t="shared" si="6"/>
        <v>4.8843997744385838E-2</v>
      </c>
      <c r="H77" s="62">
        <f>Tabla1[[#This Row],[Merval $]]/F77</f>
        <v>1960.833167479351</v>
      </c>
      <c r="I77" s="63">
        <f t="shared" si="7"/>
        <v>-1.1665225969270982E-2</v>
      </c>
      <c r="J77" s="63">
        <f t="shared" si="7"/>
        <v>-1.8990127864001317E-2</v>
      </c>
      <c r="K77" s="64">
        <f>VLOOKUP(Tabla1[[#This Row],[Fecha]],[1]Base!$N$5:$O$263,2,FALSE)</f>
        <v>720</v>
      </c>
    </row>
    <row r="78" spans="1:11">
      <c r="A78" s="174">
        <v>45708</v>
      </c>
      <c r="B78">
        <v>59.6</v>
      </c>
      <c r="C78" s="60">
        <f>VLOOKUP(Tabla1[[#This Row],[Fecha]],[1]Base!$K$5:$L$249,2,FALSE)</f>
        <v>2410221</v>
      </c>
      <c r="D78" s="56">
        <f t="shared" si="5"/>
        <v>-1.1676529661835629E-2</v>
      </c>
      <c r="E78" s="56">
        <f t="shared" si="5"/>
        <v>3.5916945603103618E-3</v>
      </c>
      <c r="F78">
        <f>VLOOKUP(A78,[1]Base!$A$5:$B$265, 2, FALSE)</f>
        <v>1206.06</v>
      </c>
      <c r="G78" s="61">
        <f t="shared" si="6"/>
        <v>4.9417110259854402E-2</v>
      </c>
      <c r="H78" s="62">
        <f>Tabla1[[#This Row],[Merval $]]/F78</f>
        <v>1998.4254514700763</v>
      </c>
      <c r="I78" s="63">
        <f t="shared" si="7"/>
        <v>-1.5165021189253308E-2</v>
      </c>
      <c r="J78" s="63">
        <f t="shared" si="7"/>
        <v>1.0320303289265089E-4</v>
      </c>
      <c r="K78" s="64">
        <f>VLOOKUP(Tabla1[[#This Row],[Fecha]],[1]Base!$N$5:$O$263,2,FALSE)</f>
        <v>719</v>
      </c>
    </row>
    <row r="79" spans="1:11">
      <c r="A79" s="174">
        <v>45707</v>
      </c>
      <c r="B79">
        <v>60.3</v>
      </c>
      <c r="C79" s="60">
        <f>VLOOKUP(Tabla1[[#This Row],[Fecha]],[1]Base!$K$5:$L$249,2,FALSE)</f>
        <v>2401579.75</v>
      </c>
      <c r="D79" s="56">
        <f t="shared" si="5"/>
        <v>-9.9010709827115698E-3</v>
      </c>
      <c r="E79" s="56">
        <f t="shared" si="5"/>
        <v>4.1119915857968951E-3</v>
      </c>
      <c r="F79">
        <f>VLOOKUP(A79,[1]Base!$A$5:$B$265, 2, FALSE)</f>
        <v>1201.8599999999999</v>
      </c>
      <c r="G79" s="61">
        <f t="shared" si="6"/>
        <v>5.0172233038789878E-2</v>
      </c>
      <c r="H79" s="62">
        <f>Tabla1[[#This Row],[Merval $]]/F79</f>
        <v>1998.2192185445895</v>
      </c>
      <c r="I79" s="63">
        <f t="shared" si="7"/>
        <v>-8.8199987865459299E-3</v>
      </c>
      <c r="J79" s="63">
        <f t="shared" si="7"/>
        <v>5.1930637819626339E-3</v>
      </c>
      <c r="K79" s="64">
        <f>VLOOKUP(Tabla1[[#This Row],[Fecha]],[1]Base!$N$5:$O$263,2,FALSE)</f>
        <v>719</v>
      </c>
    </row>
    <row r="80" spans="1:11">
      <c r="A80" s="174">
        <v>45706</v>
      </c>
      <c r="B80">
        <v>60.9</v>
      </c>
      <c r="C80" s="60">
        <f>VLOOKUP(Tabla1[[#This Row],[Fecha]],[1]Base!$K$5:$L$249,2,FALSE)</f>
        <v>2391724.75</v>
      </c>
      <c r="D80" s="56">
        <f t="shared" si="5"/>
        <v>5.0515790136901745E-2</v>
      </c>
      <c r="E80" s="56">
        <f t="shared" si="5"/>
        <v>5.922460626763637E-2</v>
      </c>
      <c r="F80">
        <f>VLOOKUP(A80,[1]Base!$A$5:$B$265, 2, FALSE)</f>
        <v>1203.1600000000001</v>
      </c>
      <c r="G80" s="61">
        <f t="shared" si="6"/>
        <v>5.0616709332092155E-2</v>
      </c>
      <c r="H80" s="62">
        <f>Tabla1[[#This Row],[Merval $]]/F80</f>
        <v>1987.8692360118353</v>
      </c>
      <c r="I80" s="63">
        <f t="shared" si="7"/>
        <v>5.6259098164802665E-2</v>
      </c>
      <c r="J80" s="63">
        <f t="shared" si="7"/>
        <v>6.496791429553718E-2</v>
      </c>
      <c r="K80" s="64">
        <f>VLOOKUP(Tabla1[[#This Row],[Fecha]],[1]Base!$N$5:$O$263,2,FALSE)</f>
        <v>696</v>
      </c>
    </row>
    <row r="81" spans="1:11">
      <c r="A81" s="174">
        <v>45705</v>
      </c>
      <c r="B81">
        <v>57.9</v>
      </c>
      <c r="C81" s="60">
        <f>VLOOKUP(Tabla1[[#This Row],[Fecha]],[1]Base!$K$5:$L$249,2,FALSE)</f>
        <v>2254188.75</v>
      </c>
      <c r="D81" s="56">
        <f t="shared" si="5"/>
        <v>-5.2156479594361725E-2</v>
      </c>
      <c r="E81" s="56">
        <f t="shared" si="5"/>
        <v>-5.7408786695265092E-2</v>
      </c>
      <c r="F81">
        <f>VLOOKUP(A81,[1]Base!$A$5:$B$265, 2, FALSE)</f>
        <v>1210.0899999999999</v>
      </c>
      <c r="G81" s="61">
        <f t="shared" si="6"/>
        <v>4.7847680751018522E-2</v>
      </c>
      <c r="H81" s="62">
        <f>Tabla1[[#This Row],[Merval $]]/F81</f>
        <v>1862.8273516845857</v>
      </c>
      <c r="I81" s="63">
        <f t="shared" si="7"/>
        <v>-7.4054036628165953E-2</v>
      </c>
      <c r="J81" s="63">
        <f t="shared" si="7"/>
        <v>-7.930634372906914E-2</v>
      </c>
      <c r="K81" s="64">
        <f>VLOOKUP(Tabla1[[#This Row],[Fecha]],[1]Base!$N$5:$O$263,2,FALSE)</f>
        <v>675</v>
      </c>
    </row>
    <row r="82" spans="1:11">
      <c r="A82" s="174">
        <v>45702</v>
      </c>
      <c r="B82">
        <v>61</v>
      </c>
      <c r="C82" s="60">
        <f>VLOOKUP(Tabla1[[#This Row],[Fecha]],[1]Base!$K$5:$L$249,2,FALSE)</f>
        <v>2387385.75</v>
      </c>
      <c r="D82" s="56">
        <f t="shared" si="5"/>
        <v>2.1541843774754758E-2</v>
      </c>
      <c r="E82" s="56">
        <f t="shared" si="5"/>
        <v>1.4191793176124411E-2</v>
      </c>
      <c r="F82">
        <f>VLOOKUP(A82,[1]Base!$A$5:$B$265, 2, FALSE)</f>
        <v>1183.8800000000001</v>
      </c>
      <c r="G82" s="61">
        <f t="shared" si="6"/>
        <v>5.1525492448558974E-2</v>
      </c>
      <c r="H82" s="62">
        <f>Tabla1[[#This Row],[Merval $]]/F82</f>
        <v>2016.5774825151195</v>
      </c>
      <c r="I82" s="63">
        <f t="shared" si="7"/>
        <v>2.4923287861589444E-2</v>
      </c>
      <c r="J82" s="63">
        <f t="shared" si="7"/>
        <v>1.7573237262958761E-2</v>
      </c>
      <c r="K82" s="64">
        <f>VLOOKUP(Tabla1[[#This Row],[Fecha]],[1]Base!$N$5:$O$263,2,FALSE)</f>
        <v>675</v>
      </c>
    </row>
    <row r="83" spans="1:11">
      <c r="A83" s="174">
        <v>45701</v>
      </c>
      <c r="B83">
        <v>59.7</v>
      </c>
      <c r="C83" s="60">
        <f>VLOOKUP(Tabla1[[#This Row],[Fecha]],[1]Base!$K$5:$L$249,2,FALSE)</f>
        <v>2353743.75</v>
      </c>
      <c r="D83" s="56">
        <f t="shared" si="5"/>
        <v>3.0614635819606949E-2</v>
      </c>
      <c r="E83" s="56">
        <f t="shared" si="5"/>
        <v>2.9270730386889196E-2</v>
      </c>
      <c r="F83">
        <f>VLOOKUP(A83,[1]Base!$A$5:$B$265, 2, FALSE)</f>
        <v>1187.8900000000001</v>
      </c>
      <c r="G83" s="61">
        <f t="shared" si="6"/>
        <v>5.0257178694997011E-2</v>
      </c>
      <c r="H83" s="62">
        <f>Tabla1[[#This Row],[Merval $]]/F83</f>
        <v>1981.4492503514634</v>
      </c>
      <c r="I83" s="63">
        <f t="shared" si="7"/>
        <v>2.9317378410103942E-2</v>
      </c>
      <c r="J83" s="63">
        <f t="shared" si="7"/>
        <v>2.7973472977386001E-2</v>
      </c>
      <c r="K83" s="64">
        <f>VLOOKUP(Tabla1[[#This Row],[Fecha]],[1]Base!$N$5:$O$263,2,FALSE)</f>
        <v>675</v>
      </c>
    </row>
    <row r="84" spans="1:11">
      <c r="A84" s="174">
        <v>45700</v>
      </c>
      <c r="B84">
        <v>57.9</v>
      </c>
      <c r="C84" s="60">
        <f>VLOOKUP(Tabla1[[#This Row],[Fecha]],[1]Base!$K$5:$L$249,2,FALSE)</f>
        <v>2285846.5</v>
      </c>
      <c r="D84" s="56">
        <f t="shared" si="5"/>
        <v>8.6730812534288639E-3</v>
      </c>
      <c r="E84" s="56">
        <f t="shared" si="5"/>
        <v>5.38601159528711E-3</v>
      </c>
      <c r="F84">
        <f>VLOOKUP(A84,[1]Base!$A$5:$B$265, 2, FALSE)</f>
        <v>1186.3499999999999</v>
      </c>
      <c r="G84" s="61">
        <f t="shared" si="6"/>
        <v>4.8805158679984827E-2</v>
      </c>
      <c r="H84" s="62">
        <f>Tabla1[[#This Row],[Merval $]]/F84</f>
        <v>1926.7893117545414</v>
      </c>
      <c r="I84" s="63">
        <f t="shared" si="7"/>
        <v>4.0262327430534541E-3</v>
      </c>
      <c r="J84" s="63">
        <f t="shared" si="7"/>
        <v>7.3916308491163115E-4</v>
      </c>
      <c r="K84" s="64">
        <f>VLOOKUP(Tabla1[[#This Row],[Fecha]],[1]Base!$N$5:$O$263,2,FALSE)</f>
        <v>673</v>
      </c>
    </row>
    <row r="85" spans="1:11">
      <c r="A85" s="174">
        <v>45699</v>
      </c>
      <c r="B85">
        <v>57.4</v>
      </c>
      <c r="C85" s="60">
        <f>VLOOKUP(Tabla1[[#This Row],[Fecha]],[1]Base!$K$5:$L$249,2,FALSE)</f>
        <v>2273568</v>
      </c>
      <c r="D85" s="56">
        <f t="shared" si="5"/>
        <v>-6.8992871486951435E-2</v>
      </c>
      <c r="E85" s="56">
        <f t="shared" si="5"/>
        <v>-5.0514974379220708E-2</v>
      </c>
      <c r="F85">
        <f>VLOOKUP(A85,[1]Base!$A$5:$B$265, 2, FALSE)</f>
        <v>1180.8499999999999</v>
      </c>
      <c r="G85" s="61">
        <f t="shared" si="6"/>
        <v>4.8609052800948474E-2</v>
      </c>
      <c r="H85" s="62">
        <f>Tabla1[[#This Row],[Merval $]]/F85</f>
        <v>1925.3656264555195</v>
      </c>
      <c r="I85" s="63">
        <f t="shared" si="7"/>
        <v>-6.6269733292153563E-2</v>
      </c>
      <c r="J85" s="63">
        <f t="shared" si="7"/>
        <v>-4.7791836184422752E-2</v>
      </c>
      <c r="K85" s="64">
        <f>VLOOKUP(Tabla1[[#This Row],[Fecha]],[1]Base!$N$5:$O$263,2,FALSE)</f>
        <v>710</v>
      </c>
    </row>
    <row r="86" spans="1:11">
      <c r="A86" s="174">
        <v>45698</v>
      </c>
      <c r="B86">
        <v>61.5</v>
      </c>
      <c r="C86" s="60">
        <f>VLOOKUP(Tabla1[[#This Row],[Fecha]],[1]Base!$K$5:$L$249,2,FALSE)</f>
        <v>2391367.5</v>
      </c>
      <c r="D86" s="56">
        <f t="shared" si="5"/>
        <v>-2.7267126340339586E-2</v>
      </c>
      <c r="E86" s="56">
        <f t="shared" si="5"/>
        <v>-1.040589865088839E-2</v>
      </c>
      <c r="F86">
        <f>VLOOKUP(A86,[1]Base!$A$5:$B$265, 2, FALSE)</f>
        <v>1184.07</v>
      </c>
      <c r="G86" s="61">
        <f t="shared" si="6"/>
        <v>5.1939496820289345E-2</v>
      </c>
      <c r="H86" s="62">
        <f>Tabla1[[#This Row],[Merval $]]/F86</f>
        <v>2019.6166611771264</v>
      </c>
      <c r="I86" s="63">
        <f t="shared" si="7"/>
        <v>-1.8522210318748511E-2</v>
      </c>
      <c r="J86" s="63">
        <f t="shared" si="7"/>
        <v>-1.660982629297345E-3</v>
      </c>
      <c r="K86" s="64">
        <f>VLOOKUP(Tabla1[[#This Row],[Fecha]],[1]Base!$N$5:$O$263,2,FALSE)</f>
        <v>677</v>
      </c>
    </row>
    <row r="87" spans="1:11">
      <c r="A87" s="174">
        <v>45695</v>
      </c>
      <c r="B87">
        <v>63.2</v>
      </c>
      <c r="C87" s="60">
        <f>VLOOKUP(Tabla1[[#This Row],[Fecha]],[1]Base!$K$5:$L$249,2,FALSE)</f>
        <v>2416381.75</v>
      </c>
      <c r="D87" s="56">
        <f t="shared" si="5"/>
        <v>-4.7885596039005031E-2</v>
      </c>
      <c r="E87" s="56">
        <f t="shared" si="5"/>
        <v>-3.5411885296820468E-2</v>
      </c>
      <c r="F87">
        <f>VLOOKUP(A87,[1]Base!$A$5:$B$265, 2, FALSE)</f>
        <v>1194.47</v>
      </c>
      <c r="G87" s="61">
        <f t="shared" si="6"/>
        <v>5.2910495868460493E-2</v>
      </c>
      <c r="H87" s="62">
        <f>Tabla1[[#This Row],[Merval $]]/F87</f>
        <v>2022.9739968354165</v>
      </c>
      <c r="I87" s="63">
        <f t="shared" si="7"/>
        <v>-5.2450319719280492E-2</v>
      </c>
      <c r="J87" s="63">
        <f t="shared" si="7"/>
        <v>-3.9976608977095963E-2</v>
      </c>
      <c r="K87" s="64">
        <f>VLOOKUP(Tabla1[[#This Row],[Fecha]],[1]Base!$N$5:$O$263,2,FALSE)</f>
        <v>660</v>
      </c>
    </row>
    <row r="88" spans="1:11">
      <c r="A88" s="174">
        <v>45694</v>
      </c>
      <c r="B88">
        <v>66.3</v>
      </c>
      <c r="C88" s="60">
        <f>VLOOKUP(Tabla1[[#This Row],[Fecha]],[1]Base!$K$5:$L$249,2,FALSE)</f>
        <v>2503483.5</v>
      </c>
      <c r="D88" s="56">
        <f t="shared" si="5"/>
        <v>-3.0120504699917209E-3</v>
      </c>
      <c r="E88" s="56">
        <f t="shared" si="5"/>
        <v>1.0346801104962703E-2</v>
      </c>
      <c r="F88">
        <f>VLOOKUP(A88,[1]Base!$A$5:$B$265, 2, FALSE)</f>
        <v>1189.03</v>
      </c>
      <c r="G88" s="61">
        <f t="shared" si="6"/>
        <v>5.5759736928420643E-2</v>
      </c>
      <c r="H88" s="62">
        <f>Tabla1[[#This Row],[Merval $]]/F88</f>
        <v>2105.4838818196345</v>
      </c>
      <c r="I88" s="63">
        <f t="shared" si="7"/>
        <v>-5.6766734131758747E-4</v>
      </c>
      <c r="J88" s="63">
        <f t="shared" si="7"/>
        <v>1.2791184233636736E-2</v>
      </c>
      <c r="K88" s="64">
        <f>VLOOKUP(Tabla1[[#This Row],[Fecha]],[1]Base!$N$5:$O$263,2,FALSE)</f>
        <v>659</v>
      </c>
    </row>
    <row r="89" spans="1:11">
      <c r="A89" s="174">
        <v>45693</v>
      </c>
      <c r="B89">
        <v>66.5</v>
      </c>
      <c r="C89" s="60">
        <f>VLOOKUP(Tabla1[[#This Row],[Fecha]],[1]Base!$K$5:$L$249,2,FALSE)</f>
        <v>2477714</v>
      </c>
      <c r="D89" s="56">
        <f t="shared" si="5"/>
        <v>-3.1090587070031005E-2</v>
      </c>
      <c r="E89" s="56">
        <f t="shared" si="5"/>
        <v>-1.8368716640495109E-2</v>
      </c>
      <c r="F89">
        <f>VLOOKUP(A89,[1]Base!$A$5:$B$265, 2, FALSE)</f>
        <v>1191.94</v>
      </c>
      <c r="G89" s="61">
        <f t="shared" si="6"/>
        <v>5.5791398895917575E-2</v>
      </c>
      <c r="H89" s="62">
        <f>Tabla1[[#This Row],[Merval $]]/F89</f>
        <v>2078.7237612631507</v>
      </c>
      <c r="I89" s="63">
        <f t="shared" si="7"/>
        <v>-3.4401597935388765E-2</v>
      </c>
      <c r="J89" s="63">
        <f t="shared" si="7"/>
        <v>-2.1679727505852953E-2</v>
      </c>
      <c r="K89" s="64">
        <f>VLOOKUP(Tabla1[[#This Row],[Fecha]],[1]Base!$N$5:$O$263,2,FALSE)</f>
        <v>660</v>
      </c>
    </row>
    <row r="90" spans="1:11">
      <c r="A90" s="174">
        <v>45692</v>
      </c>
      <c r="B90">
        <v>68.599999999999994</v>
      </c>
      <c r="C90" s="60">
        <f>VLOOKUP(Tabla1[[#This Row],[Fecha]],[1]Base!$K$5:$L$249,2,FALSE)</f>
        <v>2523647</v>
      </c>
      <c r="D90" s="56">
        <f t="shared" si="5"/>
        <v>1.9132298081157354E-2</v>
      </c>
      <c r="E90" s="56">
        <f t="shared" si="5"/>
        <v>1.5780265192314968E-2</v>
      </c>
      <c r="F90">
        <f>VLOOKUP(A90,[1]Base!$A$5:$B$265, 2, FALSE)</f>
        <v>1188</v>
      </c>
      <c r="G90" s="61">
        <f t="shared" si="6"/>
        <v>5.7744107744107737E-2</v>
      </c>
      <c r="H90" s="62">
        <f>Tabla1[[#This Row],[Merval $]]/F90</f>
        <v>2124.2819865319866</v>
      </c>
      <c r="I90" s="63">
        <f t="shared" si="7"/>
        <v>1.1375015284693845E-2</v>
      </c>
      <c r="J90" s="63">
        <f t="shared" si="7"/>
        <v>8.0229823958517608E-3</v>
      </c>
      <c r="K90" s="64">
        <f>VLOOKUP(Tabla1[[#This Row],[Fecha]],[1]Base!$N$5:$O$263,2,FALSE)</f>
        <v>640</v>
      </c>
    </row>
    <row r="91" spans="1:11">
      <c r="A91" s="174">
        <v>45691</v>
      </c>
      <c r="B91">
        <v>67.3</v>
      </c>
      <c r="C91" s="60">
        <f>VLOOKUP(Tabla1[[#This Row],[Fecha]],[1]Base!$K$5:$L$249,2,FALSE)</f>
        <v>2484135.75</v>
      </c>
      <c r="D91" s="56">
        <f t="shared" si="5"/>
        <v>-2.6394494122942001E-2</v>
      </c>
      <c r="E91" s="56">
        <f t="shared" si="5"/>
        <v>-3.1900713978738129E-2</v>
      </c>
      <c r="F91">
        <f>VLOOKUP(A91,[1]Base!$A$5:$B$265, 2, FALSE)</f>
        <v>1178.82</v>
      </c>
      <c r="G91" s="61">
        <f t="shared" si="6"/>
        <v>5.7090989294379127E-2</v>
      </c>
      <c r="H91" s="62">
        <f>Tabla1[[#This Row],[Merval $]]/F91</f>
        <v>2107.307095230824</v>
      </c>
      <c r="I91" s="63">
        <f t="shared" si="7"/>
        <v>-3.8367619008335296E-2</v>
      </c>
      <c r="J91" s="63">
        <f t="shared" si="7"/>
        <v>-4.3873838864131522E-2</v>
      </c>
      <c r="K91" s="64">
        <f>VLOOKUP(Tabla1[[#This Row],[Fecha]],[1]Base!$N$5:$O$263,2,FALSE)</f>
        <v>632</v>
      </c>
    </row>
    <row r="92" spans="1:11">
      <c r="A92" s="174">
        <v>45688</v>
      </c>
      <c r="B92">
        <v>69.099999999999994</v>
      </c>
      <c r="C92" s="60">
        <f>VLOOKUP(Tabla1[[#This Row],[Fecha]],[1]Base!$K$5:$L$249,2,FALSE)</f>
        <v>2564659</v>
      </c>
      <c r="D92" s="56">
        <f t="shared" si="5"/>
        <v>-1.5793580258141354E-2</v>
      </c>
      <c r="E92" s="56">
        <f t="shared" si="5"/>
        <v>-1.3427616124244911E-2</v>
      </c>
      <c r="F92">
        <f>VLOOKUP(A92,[1]Base!$A$5:$B$265, 2, FALSE)</f>
        <v>1164.79</v>
      </c>
      <c r="G92" s="61">
        <f t="shared" si="6"/>
        <v>5.9323998317293243E-2</v>
      </c>
      <c r="H92" s="62">
        <f>Tabla1[[#This Row],[Merval $]]/F92</f>
        <v>2201.8209290945151</v>
      </c>
      <c r="I92" s="63">
        <f t="shared" si="7"/>
        <v>-1.5707731557837841E-2</v>
      </c>
      <c r="J92" s="63">
        <f t="shared" si="7"/>
        <v>-1.3341767423941242E-2</v>
      </c>
      <c r="K92" s="64">
        <f>VLOOKUP(Tabla1[[#This Row],[Fecha]],[1]Base!$N$5:$O$263,2,FALSE)</f>
        <v>618</v>
      </c>
    </row>
    <row r="93" spans="1:11">
      <c r="A93" s="174">
        <v>45687</v>
      </c>
      <c r="B93">
        <v>70.2</v>
      </c>
      <c r="C93" s="60">
        <f>VLOOKUP(Tabla1[[#This Row],[Fecha]],[1]Base!$K$5:$L$249,2,FALSE)</f>
        <v>2599328.5</v>
      </c>
      <c r="D93" s="56">
        <f t="shared" si="5"/>
        <v>1.1461443519006598E-2</v>
      </c>
      <c r="E93" s="56">
        <f t="shared" si="5"/>
        <v>2.0982816533919563E-2</v>
      </c>
      <c r="F93">
        <f>VLOOKUP(A93,[1]Base!$A$5:$B$265, 2, FALSE)</f>
        <v>1164.8900000000001</v>
      </c>
      <c r="G93" s="61">
        <f t="shared" si="6"/>
        <v>6.0263200817244546E-2</v>
      </c>
      <c r="H93" s="62">
        <f>Tabla1[[#This Row],[Merval $]]/F93</f>
        <v>2231.393951360214</v>
      </c>
      <c r="I93" s="63">
        <f t="shared" si="7"/>
        <v>1.0147151479716173E-2</v>
      </c>
      <c r="J93" s="63">
        <f t="shared" si="7"/>
        <v>1.9668524494629136E-2</v>
      </c>
      <c r="K93" s="64">
        <f>VLOOKUP(Tabla1[[#This Row],[Fecha]],[1]Base!$N$5:$O$263,2,FALSE)</f>
        <v>614</v>
      </c>
    </row>
    <row r="94" spans="1:11">
      <c r="A94" s="174">
        <v>45686</v>
      </c>
      <c r="B94">
        <v>69.400000000000006</v>
      </c>
      <c r="C94" s="60">
        <f>VLOOKUP(Tabla1[[#This Row],[Fecha]],[1]Base!$K$5:$L$249,2,FALSE)</f>
        <v>2545355.5</v>
      </c>
      <c r="D94" s="56">
        <f t="shared" si="5"/>
        <v>0</v>
      </c>
      <c r="E94" s="56">
        <f t="shared" si="5"/>
        <v>4.4065389149973273E-2</v>
      </c>
      <c r="F94">
        <f>VLOOKUP(A94,[1]Base!$A$5:$B$265, 2, FALSE)</f>
        <v>1163.3599999999999</v>
      </c>
      <c r="G94" s="61">
        <f t="shared" si="6"/>
        <v>5.965479301334068E-2</v>
      </c>
      <c r="H94" s="62">
        <f>Tabla1[[#This Row],[Merval $]]/F94</f>
        <v>2187.9345172603494</v>
      </c>
      <c r="I94" s="63">
        <f t="shared" si="7"/>
        <v>-1.7034167079057762E-3</v>
      </c>
      <c r="J94" s="63">
        <f t="shared" si="7"/>
        <v>4.2361972442067353E-2</v>
      </c>
      <c r="K94" s="64">
        <f>VLOOKUP(Tabla1[[#This Row],[Fecha]],[1]Base!$N$5:$O$263,2,FALSE)</f>
        <v>611</v>
      </c>
    </row>
    <row r="95" spans="1:11">
      <c r="A95" s="174">
        <v>45685</v>
      </c>
      <c r="B95">
        <v>69.400000000000006</v>
      </c>
      <c r="C95" s="60">
        <f>VLOOKUP(Tabla1[[#This Row],[Fecha]],[1]Base!$K$5:$L$249,2,FALSE)</f>
        <v>2435628.75</v>
      </c>
      <c r="D95" s="56">
        <f t="shared" si="5"/>
        <v>5.7803629154995493E-3</v>
      </c>
      <c r="E95" s="56">
        <f t="shared" si="5"/>
        <v>-1.4236695635163861E-3</v>
      </c>
      <c r="F95">
        <f>VLOOKUP(A95,[1]Base!$A$5:$B$265, 2, FALSE)</f>
        <v>1161.3800000000001</v>
      </c>
      <c r="G95" s="61">
        <f t="shared" si="6"/>
        <v>5.9756496581652864E-2</v>
      </c>
      <c r="H95" s="62">
        <f>Tabla1[[#This Row],[Merval $]]/F95</f>
        <v>2097.1850298782483</v>
      </c>
      <c r="I95" s="63">
        <f t="shared" si="7"/>
        <v>6.5033789566362275E-3</v>
      </c>
      <c r="J95" s="63">
        <f t="shared" si="7"/>
        <v>-7.0065352237964884E-4</v>
      </c>
      <c r="K95" s="64">
        <f>VLOOKUP(Tabla1[[#This Row],[Fecha]],[1]Base!$N$5:$O$263,2,FALSE)</f>
        <v>634</v>
      </c>
    </row>
    <row r="96" spans="1:11">
      <c r="A96" s="174">
        <v>45684</v>
      </c>
      <c r="B96">
        <v>69</v>
      </c>
      <c r="C96" s="60">
        <f>VLOOKUP(Tabla1[[#This Row],[Fecha]],[1]Base!$K$5:$L$249,2,FALSE)</f>
        <v>2439098.75</v>
      </c>
      <c r="D96" s="56">
        <f t="shared" si="5"/>
        <v>-5.7721862158473365E-2</v>
      </c>
      <c r="E96" s="56">
        <f t="shared" si="5"/>
        <v>-5.0751713140886688E-2</v>
      </c>
      <c r="F96">
        <f>VLOOKUP(A96,[1]Base!$A$5:$B$265, 2, FALSE)</f>
        <v>1162.22</v>
      </c>
      <c r="G96" s="61">
        <f t="shared" si="6"/>
        <v>5.9369138373113521E-2</v>
      </c>
      <c r="H96" s="62">
        <f>Tabla1[[#This Row],[Merval $]]/F96</f>
        <v>2098.6549448469309</v>
      </c>
      <c r="I96" s="63">
        <f t="shared" si="7"/>
        <v>-6.3304347525115975E-2</v>
      </c>
      <c r="J96" s="63">
        <f t="shared" si="7"/>
        <v>-5.6334198507529472E-2</v>
      </c>
      <c r="K96" s="64">
        <f>VLOOKUP(Tabla1[[#This Row],[Fecha]],[1]Base!$N$5:$O$263,2,FALSE)</f>
        <v>642</v>
      </c>
    </row>
    <row r="97" spans="1:11">
      <c r="A97" s="174">
        <v>45681</v>
      </c>
      <c r="B97">
        <v>73.099999999999994</v>
      </c>
      <c r="C97" s="60">
        <f>VLOOKUP(Tabla1[[#This Row],[Fecha]],[1]Base!$K$5:$L$249,2,FALSE)</f>
        <v>2566082.25</v>
      </c>
      <c r="D97" s="56">
        <f t="shared" si="5"/>
        <v>6.645554212722779E-2</v>
      </c>
      <c r="E97" s="56">
        <f t="shared" si="5"/>
        <v>-2.2719624021295223E-2</v>
      </c>
      <c r="F97">
        <f>VLOOKUP(A97,[1]Base!$A$5:$B$265, 2, FALSE)</f>
        <v>1155.75</v>
      </c>
      <c r="G97" s="61">
        <f t="shared" si="6"/>
        <v>6.3248972528661032E-2</v>
      </c>
      <c r="H97" s="62">
        <f>Tabla1[[#This Row],[Merval $]]/F97</f>
        <v>2220.2744970798185</v>
      </c>
      <c r="I97" s="63">
        <f t="shared" si="7"/>
        <v>7.6442280890339387E-2</v>
      </c>
      <c r="J97" s="63">
        <f t="shared" si="7"/>
        <v>-1.2732885258183477E-2</v>
      </c>
      <c r="K97" s="64">
        <f>VLOOKUP(Tabla1[[#This Row],[Fecha]],[1]Base!$N$5:$O$263,2,FALSE)</f>
        <v>631</v>
      </c>
    </row>
    <row r="98" spans="1:11">
      <c r="A98" s="174">
        <v>45680</v>
      </c>
      <c r="B98">
        <v>68.400000000000006</v>
      </c>
      <c r="C98" s="60">
        <f>VLOOKUP(Tabla1[[#This Row],[Fecha]],[1]Base!$K$5:$L$249,2,FALSE)</f>
        <v>2625050</v>
      </c>
      <c r="D98" s="56">
        <f t="shared" si="5"/>
        <v>-1.5953927942241593E-2</v>
      </c>
      <c r="E98" s="56">
        <f t="shared" si="5"/>
        <v>-2.1069680580915885E-2</v>
      </c>
      <c r="F98">
        <f>VLOOKUP(A98,[1]Base!$A$5:$B$265, 2, FALSE)</f>
        <v>1167.3499999999999</v>
      </c>
      <c r="G98" s="61">
        <f t="shared" si="6"/>
        <v>5.8594251938150523E-2</v>
      </c>
      <c r="H98" s="62">
        <f>Tabla1[[#This Row],[Merval $]]/F98</f>
        <v>2248.7257463485676</v>
      </c>
      <c r="I98" s="63">
        <f t="shared" si="7"/>
        <v>-1.1406950424172764E-2</v>
      </c>
      <c r="J98" s="63">
        <f t="shared" si="7"/>
        <v>-1.652270306284704E-2</v>
      </c>
      <c r="K98" s="64">
        <f>VLOOKUP(Tabla1[[#This Row],[Fecha]],[1]Base!$N$5:$O$263,2,FALSE)</f>
        <v>646</v>
      </c>
    </row>
    <row r="99" spans="1:11">
      <c r="A99" s="174">
        <v>45679</v>
      </c>
      <c r="B99">
        <v>69.5</v>
      </c>
      <c r="C99" s="60">
        <f>VLOOKUP(Tabla1[[#This Row],[Fecha]],[1]Base!$K$5:$L$249,2,FALSE)</f>
        <v>2680945.75</v>
      </c>
      <c r="D99" s="56">
        <f t="shared" si="5"/>
        <v>5.3188311062284853E-2</v>
      </c>
      <c r="E99" s="56">
        <f t="shared" si="5"/>
        <v>2.3102468519357849E-2</v>
      </c>
      <c r="F99">
        <f>VLOOKUP(A99,[1]Base!$A$5:$B$265, 2, FALSE)</f>
        <v>1172.67</v>
      </c>
      <c r="G99" s="61">
        <f t="shared" si="6"/>
        <v>5.9266460299999144E-2</v>
      </c>
      <c r="H99" s="62">
        <f>Tabla1[[#This Row],[Merval $]]/F99</f>
        <v>2286.1894224291573</v>
      </c>
      <c r="I99" s="63">
        <f t="shared" si="7"/>
        <v>4.886403543296327E-2</v>
      </c>
      <c r="J99" s="63">
        <f t="shared" si="7"/>
        <v>1.8778192890036228E-2</v>
      </c>
      <c r="K99" s="64">
        <f>VLOOKUP(Tabla1[[#This Row],[Fecha]],[1]Base!$N$5:$O$263,2,FALSE)</f>
        <v>640</v>
      </c>
    </row>
    <row r="100" spans="1:11">
      <c r="A100" s="174">
        <v>45678</v>
      </c>
      <c r="B100">
        <v>65.900000000000006</v>
      </c>
      <c r="C100" s="60">
        <f>VLOOKUP(Tabla1[[#This Row],[Fecha]],[1]Base!$K$5:$L$249,2,FALSE)</f>
        <v>2619719.25</v>
      </c>
      <c r="D100" s="56">
        <f t="shared" si="5"/>
        <v>-1.804560246917445E-2</v>
      </c>
      <c r="E100" s="56">
        <f t="shared" si="5"/>
        <v>3.2148929007019836E-2</v>
      </c>
      <c r="F100">
        <f>VLOOKUP(A100,[1]Base!$A$5:$B$265, 2, FALSE)</f>
        <v>1167.6099999999999</v>
      </c>
      <c r="G100" s="61">
        <f t="shared" si="6"/>
        <v>5.6440078450852603E-2</v>
      </c>
      <c r="H100" s="62">
        <f>Tabla1[[#This Row],[Merval $]]/F100</f>
        <v>2243.6594839030158</v>
      </c>
      <c r="I100" s="63">
        <f t="shared" si="7"/>
        <v>-1.9511206050122402E-2</v>
      </c>
      <c r="J100" s="63">
        <f t="shared" si="7"/>
        <v>3.0683325426071915E-2</v>
      </c>
      <c r="K100" s="64">
        <f>VLOOKUP(Tabla1[[#This Row],[Fecha]],[1]Base!$N$5:$O$263,2,FALSE)</f>
        <v>638</v>
      </c>
    </row>
    <row r="101" spans="1:11">
      <c r="A101" s="174">
        <v>45677</v>
      </c>
      <c r="B101">
        <v>67.099999999999994</v>
      </c>
      <c r="C101" s="60">
        <f>VLOOKUP(Tabla1[[#This Row],[Fecha]],[1]Base!$K$5:$L$249,2,FALSE)</f>
        <v>2536837.5</v>
      </c>
      <c r="D101" s="56">
        <f t="shared" si="5"/>
        <v>1.3503581034673525E-2</v>
      </c>
      <c r="E101" s="56">
        <f t="shared" si="5"/>
        <v>1.0282547629892043E-2</v>
      </c>
      <c r="F101">
        <f>VLOOKUP(A101,[1]Base!$A$5:$B$265, 2, FALSE)</f>
        <v>1165.9000000000001</v>
      </c>
      <c r="G101" s="61">
        <f t="shared" si="6"/>
        <v>5.7552105669439906E-2</v>
      </c>
      <c r="H101" s="62">
        <f>Tabla1[[#This Row],[Merval $]]/F101</f>
        <v>2175.8619950253023</v>
      </c>
      <c r="I101" s="63">
        <f t="shared" si="7"/>
        <v>1.3452117320868776E-2</v>
      </c>
      <c r="J101" s="63">
        <f t="shared" si="7"/>
        <v>1.0231083916087524E-2</v>
      </c>
      <c r="K101" s="64">
        <f>VLOOKUP(Tabla1[[#This Row],[Fecha]],[1]Base!$N$5:$O$263,2,FALSE)</f>
        <v>641</v>
      </c>
    </row>
    <row r="102" spans="1:11">
      <c r="A102" s="174">
        <v>45674</v>
      </c>
      <c r="B102">
        <v>66.2</v>
      </c>
      <c r="C102" s="60">
        <f>VLOOKUP(Tabla1[[#This Row],[Fecha]],[1]Base!$K$5:$L$249,2,FALSE)</f>
        <v>2510886</v>
      </c>
      <c r="D102" s="56">
        <f t="shared" si="5"/>
        <v>-1.6479773707719535E-2</v>
      </c>
      <c r="E102" s="56">
        <f t="shared" si="5"/>
        <v>-4.6111257093515268E-2</v>
      </c>
      <c r="F102">
        <f>VLOOKUP(A102,[1]Base!$A$5:$B$265, 2, FALSE)</f>
        <v>1165.8399999999999</v>
      </c>
      <c r="G102" s="61">
        <f t="shared" si="6"/>
        <v>5.6783092019488099E-2</v>
      </c>
      <c r="H102" s="62">
        <f>Tabla1[[#This Row],[Merval $]]/F102</f>
        <v>2153.7140602484046</v>
      </c>
      <c r="I102" s="63">
        <f t="shared" si="7"/>
        <v>-1.6316814365714589E-2</v>
      </c>
      <c r="J102" s="63">
        <f t="shared" si="7"/>
        <v>-4.5948297751510249E-2</v>
      </c>
      <c r="K102" s="64">
        <f>VLOOKUP(Tabla1[[#This Row],[Fecha]],[1]Base!$N$5:$O$263,2,FALSE)</f>
        <v>644</v>
      </c>
    </row>
    <row r="103" spans="1:11">
      <c r="A103" s="174">
        <v>45673</v>
      </c>
      <c r="B103">
        <v>67.3</v>
      </c>
      <c r="C103" s="60">
        <f>VLOOKUP(Tabla1[[#This Row],[Fecha]],[1]Base!$K$5:$L$249,2,FALSE)</f>
        <v>2629377</v>
      </c>
      <c r="D103" s="56">
        <f t="shared" si="5"/>
        <v>-2.3495941368930882E-2</v>
      </c>
      <c r="E103" s="56">
        <f t="shared" si="5"/>
        <v>-2.8160410237368389E-2</v>
      </c>
      <c r="F103">
        <f>VLOOKUP(A103,[1]Base!$A$5:$B$265, 2, FALSE)</f>
        <v>1166.03</v>
      </c>
      <c r="G103" s="61">
        <f t="shared" si="6"/>
        <v>5.7717211392502764E-2</v>
      </c>
      <c r="H103" s="62">
        <f>Tabla1[[#This Row],[Merval $]]/F103</f>
        <v>2254.982290335583</v>
      </c>
      <c r="I103" s="63">
        <f t="shared" si="7"/>
        <v>-2.5195454241086976E-2</v>
      </c>
      <c r="J103" s="63">
        <f t="shared" si="7"/>
        <v>-2.9859923109524608E-2</v>
      </c>
      <c r="K103" s="64">
        <f>VLOOKUP(Tabla1[[#This Row],[Fecha]],[1]Base!$N$5:$O$263,2,FALSE)</f>
        <v>626</v>
      </c>
    </row>
    <row r="104" spans="1:11">
      <c r="A104" s="174">
        <v>45672</v>
      </c>
      <c r="B104">
        <v>68.900000000000006</v>
      </c>
      <c r="C104" s="60">
        <f>VLOOKUP(Tabla1[[#This Row],[Fecha]],[1]Base!$K$5:$L$249,2,FALSE)</f>
        <v>2704473.75</v>
      </c>
      <c r="D104" s="56">
        <f t="shared" si="5"/>
        <v>-3.8438895946986934E-2</v>
      </c>
      <c r="E104" s="56">
        <f t="shared" si="5"/>
        <v>-1.0592537416418546E-2</v>
      </c>
      <c r="F104">
        <f>VLOOKUP(A104,[1]Base!$A$5:$B$265, 2, FALSE)</f>
        <v>1164.05</v>
      </c>
      <c r="G104" s="61">
        <f t="shared" si="6"/>
        <v>5.9189897341179507E-2</v>
      </c>
      <c r="H104" s="62">
        <f>Tabla1[[#This Row],[Merval $]]/F104</f>
        <v>2323.3312572484001</v>
      </c>
      <c r="I104" s="63">
        <f t="shared" si="7"/>
        <v>-3.9401517101003092E-2</v>
      </c>
      <c r="J104" s="63">
        <f t="shared" si="7"/>
        <v>-1.1555158570434664E-2</v>
      </c>
      <c r="K104" s="64">
        <f>VLOOKUP(Tabla1[[#This Row],[Fecha]],[1]Base!$N$5:$O$263,2,FALSE)</f>
        <v>597</v>
      </c>
    </row>
    <row r="105" spans="1:11">
      <c r="A105" s="174">
        <v>45671</v>
      </c>
      <c r="B105">
        <v>71.599999999999994</v>
      </c>
      <c r="C105" s="60">
        <f>VLOOKUP(Tabla1[[#This Row],[Fecha]],[1]Base!$K$5:$L$249,2,FALSE)</f>
        <v>2733273.25</v>
      </c>
      <c r="D105" s="56">
        <f t="shared" si="5"/>
        <v>1.4064929467403457E-2</v>
      </c>
      <c r="E105" s="56">
        <f t="shared" si="5"/>
        <v>2.8987999580804412E-2</v>
      </c>
      <c r="F105">
        <f>VLOOKUP(A105,[1]Base!$A$5:$B$265, 2, FALSE)</f>
        <v>1162.93</v>
      </c>
      <c r="G105" s="61">
        <f t="shared" si="6"/>
        <v>6.156862407883535E-2</v>
      </c>
      <c r="H105" s="62">
        <f>Tabla1[[#This Row],[Merval $]]/F105</f>
        <v>2350.3334250556782</v>
      </c>
      <c r="I105" s="63">
        <f t="shared" si="7"/>
        <v>1.4305671642296272E-2</v>
      </c>
      <c r="J105" s="63">
        <f t="shared" si="7"/>
        <v>2.9228741755697125E-2</v>
      </c>
      <c r="K105" s="64">
        <f>VLOOKUP(Tabla1[[#This Row],[Fecha]],[1]Base!$N$5:$O$263,2,FALSE)</f>
        <v>579</v>
      </c>
    </row>
    <row r="106" spans="1:11">
      <c r="A106" s="174">
        <v>45670</v>
      </c>
      <c r="B106">
        <v>70.599999999999994</v>
      </c>
      <c r="C106" s="60">
        <f>VLOOKUP(Tabla1[[#This Row],[Fecha]],[1]Base!$K$5:$L$249,2,FALSE)</f>
        <v>2655178.5</v>
      </c>
      <c r="D106" s="56">
        <f t="shared" si="5"/>
        <v>-3.2058494515416189E-2</v>
      </c>
      <c r="E106" s="56">
        <f t="shared" si="5"/>
        <v>-5.4941475408103256E-2</v>
      </c>
      <c r="F106">
        <f>VLOOKUP(A106,[1]Base!$A$5:$B$265, 2, FALSE)</f>
        <v>1163.21</v>
      </c>
      <c r="G106" s="61">
        <f t="shared" si="6"/>
        <v>6.0694113702598834E-2</v>
      </c>
      <c r="H106" s="62">
        <f>Tabla1[[#This Row],[Merval $]]/F106</f>
        <v>2282.6303934801108</v>
      </c>
      <c r="I106" s="63">
        <f t="shared" si="7"/>
        <v>-3.1370978911810427E-2</v>
      </c>
      <c r="J106" s="63">
        <f t="shared" si="7"/>
        <v>-5.4253959804497501E-2</v>
      </c>
      <c r="K106" s="64">
        <f>VLOOKUP(Tabla1[[#This Row],[Fecha]],[1]Base!$N$5:$O$263,2,FALSE)</f>
        <v>589</v>
      </c>
    </row>
    <row r="107" spans="1:11">
      <c r="A107" s="174">
        <v>45667</v>
      </c>
      <c r="B107">
        <v>72.900000000000006</v>
      </c>
      <c r="C107" s="60">
        <f>VLOOKUP(Tabla1[[#This Row],[Fecha]],[1]Base!$K$5:$L$249,2,FALSE)</f>
        <v>2805139.75</v>
      </c>
      <c r="D107" s="56">
        <f t="shared" si="5"/>
        <v>6.9580933838505943E-2</v>
      </c>
      <c r="E107" s="56">
        <f t="shared" si="5"/>
        <v>-8.7281179580551965E-3</v>
      </c>
      <c r="F107">
        <f>VLOOKUP(A107,[1]Base!$A$5:$B$265, 2, FALSE)</f>
        <v>1164.01</v>
      </c>
      <c r="G107" s="61">
        <f t="shared" si="6"/>
        <v>6.2628327935327022E-2</v>
      </c>
      <c r="H107" s="62">
        <f>Tabla1[[#This Row],[Merval $]]/F107</f>
        <v>2409.8931710208676</v>
      </c>
      <c r="I107" s="63">
        <f t="shared" si="7"/>
        <v>6.9735559730060348E-2</v>
      </c>
      <c r="J107" s="63">
        <f t="shared" si="7"/>
        <v>-8.573492066500531E-3</v>
      </c>
      <c r="K107" s="64">
        <f>VLOOKUP(Tabla1[[#This Row],[Fecha]],[1]Base!$N$5:$O$263,2,FALSE)</f>
        <v>580</v>
      </c>
    </row>
    <row r="108" spans="1:11">
      <c r="A108" s="174">
        <v>45666</v>
      </c>
      <c r="B108">
        <v>68</v>
      </c>
      <c r="C108" s="60">
        <f>VLOOKUP(Tabla1[[#This Row],[Fecha]],[1]Base!$K$5:$L$249,2,FALSE)</f>
        <v>2829730.5</v>
      </c>
      <c r="D108" s="56">
        <f t="shared" si="5"/>
        <v>-1.3148472843506323E-2</v>
      </c>
      <c r="E108" s="56">
        <f t="shared" si="5"/>
        <v>1.6839939253022355E-2</v>
      </c>
      <c r="F108">
        <f>VLOOKUP(A108,[1]Base!$A$5:$B$265, 2, FALSE)</f>
        <v>1164.19</v>
      </c>
      <c r="G108" s="61">
        <f t="shared" si="6"/>
        <v>5.8409709755280495E-2</v>
      </c>
      <c r="H108" s="62">
        <f>Tabla1[[#This Row],[Merval $]]/F108</f>
        <v>2430.6431939803638</v>
      </c>
      <c r="I108" s="63">
        <f t="shared" si="7"/>
        <v>-1.2693324289762617E-2</v>
      </c>
      <c r="J108" s="63">
        <f t="shared" si="7"/>
        <v>1.7295087806765867E-2</v>
      </c>
      <c r="K108" s="64">
        <f>VLOOKUP(Tabla1[[#This Row],[Fecha]],[1]Base!$N$5:$O$263,2,FALSE)</f>
        <v>560</v>
      </c>
    </row>
    <row r="109" spans="1:11">
      <c r="A109" s="174">
        <v>45665</v>
      </c>
      <c r="B109">
        <v>68.900000000000006</v>
      </c>
      <c r="C109" s="60">
        <f>VLOOKUP(Tabla1[[#This Row],[Fecha]],[1]Base!$K$5:$L$249,2,FALSE)</f>
        <v>2782477</v>
      </c>
      <c r="D109" s="56">
        <f t="shared" si="5"/>
        <v>-3.2836640398317136E-2</v>
      </c>
      <c r="E109" s="56">
        <f t="shared" si="5"/>
        <v>-1.4166148910975158E-2</v>
      </c>
      <c r="F109">
        <f>VLOOKUP(A109,[1]Base!$A$5:$B$265, 2, FALSE)</f>
        <v>1164.72</v>
      </c>
      <c r="G109" s="61">
        <f t="shared" si="6"/>
        <v>5.9155848615976378E-2</v>
      </c>
      <c r="H109" s="62">
        <f>Tabla1[[#This Row],[Merval $]]/F109</f>
        <v>2388.9664468713509</v>
      </c>
      <c r="I109" s="63">
        <f t="shared" si="7"/>
        <v>-3.3137186965976333E-2</v>
      </c>
      <c r="J109" s="63">
        <f t="shared" si="7"/>
        <v>-1.4466695478634333E-2</v>
      </c>
      <c r="K109" s="64">
        <f>VLOOKUP(Tabla1[[#This Row],[Fecha]],[1]Base!$N$5:$O$263,2,FALSE)</f>
        <v>572</v>
      </c>
    </row>
    <row r="110" spans="1:11">
      <c r="A110" s="174">
        <v>45664</v>
      </c>
      <c r="B110">
        <v>71.2</v>
      </c>
      <c r="C110" s="60">
        <f>VLOOKUP(Tabla1[[#This Row],[Fecha]],[1]Base!$K$5:$L$249,2,FALSE)</f>
        <v>2822174.5</v>
      </c>
      <c r="D110" s="56">
        <f t="shared" si="5"/>
        <v>-2.4966622730461057E-2</v>
      </c>
      <c r="E110" s="56">
        <f t="shared" si="5"/>
        <v>7.4523827850705403E-3</v>
      </c>
      <c r="F110">
        <f>VLOOKUP(A110,[1]Base!$A$5:$B$265, 2, FALSE)</f>
        <v>1164.3699999999999</v>
      </c>
      <c r="G110" s="61">
        <f t="shared" si="6"/>
        <v>6.1148947499506182E-2</v>
      </c>
      <c r="H110" s="62">
        <f>Tabla1[[#This Row],[Merval $]]/F110</f>
        <v>2423.7780945919253</v>
      </c>
      <c r="I110" s="63">
        <f t="shared" si="7"/>
        <v>-2.4348453693063449E-2</v>
      </c>
      <c r="J110" s="63">
        <f t="shared" si="7"/>
        <v>8.0705518224679917E-3</v>
      </c>
      <c r="K110" s="64">
        <f>VLOOKUP(Tabla1[[#This Row],[Fecha]],[1]Base!$N$5:$O$263,2,FALSE)</f>
        <v>561</v>
      </c>
    </row>
    <row r="111" spans="1:11">
      <c r="A111" s="174">
        <v>45663</v>
      </c>
      <c r="B111">
        <v>73</v>
      </c>
      <c r="C111" s="60">
        <f>VLOOKUP(Tabla1[[#This Row],[Fecha]],[1]Base!$K$5:$L$249,2,FALSE)</f>
        <v>2801220.75</v>
      </c>
      <c r="D111" s="56">
        <f t="shared" si="5"/>
        <v>-1.7651510575322313E-2</v>
      </c>
      <c r="E111" s="56">
        <f t="shared" si="5"/>
        <v>2.6152675795656236E-2</v>
      </c>
      <c r="F111">
        <f>VLOOKUP(A111,[1]Base!$A$5:$B$265, 2, FALSE)</f>
        <v>1165.0899999999999</v>
      </c>
      <c r="G111" s="61">
        <f t="shared" si="6"/>
        <v>6.2656103820305731E-2</v>
      </c>
      <c r="H111" s="62">
        <f>Tabla1[[#This Row],[Merval $]]/F111</f>
        <v>2404.2955908985573</v>
      </c>
      <c r="I111" s="63">
        <f t="shared" si="7"/>
        <v>-1.6973681147875824E-2</v>
      </c>
      <c r="J111" s="63">
        <f t="shared" si="7"/>
        <v>2.6830505223102843E-2</v>
      </c>
      <c r="K111" s="64">
        <f>VLOOKUP(Tabla1[[#This Row],[Fecha]],[1]Base!$N$5:$O$263,2,FALSE)</f>
        <v>569</v>
      </c>
    </row>
    <row r="112" spans="1:11">
      <c r="A112" s="174">
        <v>45660</v>
      </c>
      <c r="B112">
        <v>74.3</v>
      </c>
      <c r="C112" s="60">
        <f>VLOOKUP(Tabla1[[#This Row],[Fecha]],[1]Base!$K$5:$L$249,2,FALSE)</f>
        <v>2728911</v>
      </c>
      <c r="D112" s="56">
        <f t="shared" si="5"/>
        <v>0</v>
      </c>
      <c r="E112" s="56">
        <f t="shared" si="5"/>
        <v>1.2264564240742508E-2</v>
      </c>
      <c r="F112">
        <f>VLOOKUP(A112,[1]Base!$A$5:$B$265, 2, FALSE)</f>
        <v>1165.8800000000001</v>
      </c>
      <c r="G112" s="61">
        <f t="shared" si="6"/>
        <v>6.372868562802346E-2</v>
      </c>
      <c r="H112" s="62">
        <f>Tabla1[[#This Row],[Merval $]]/F112</f>
        <v>2340.6448348028953</v>
      </c>
      <c r="I112" s="63">
        <f t="shared" si="7"/>
        <v>-3.2302433586490942E-3</v>
      </c>
      <c r="J112" s="63">
        <f t="shared" si="7"/>
        <v>9.0343208820935373E-3</v>
      </c>
      <c r="K112" s="64">
        <f>VLOOKUP(Tabla1[[#This Row],[Fecha]],[1]Base!$N$5:$O$263,2,FALSE)</f>
        <v>610</v>
      </c>
    </row>
    <row r="113" spans="1:11">
      <c r="A113" s="174">
        <v>45659</v>
      </c>
      <c r="B113">
        <v>74.3</v>
      </c>
      <c r="C113" s="60">
        <f>VLOOKUP(Tabla1[[#This Row],[Fecha]],[1]Base!$K$5:$L$249,2,FALSE)</f>
        <v>2695646.5</v>
      </c>
      <c r="D113" s="56">
        <f t="shared" si="5"/>
        <v>3.0056907432810077E-2</v>
      </c>
      <c r="E113" s="56">
        <f t="shared" si="5"/>
        <v>-1.8548424417992929E-7</v>
      </c>
      <c r="F113">
        <f>VLOOKUP(A113,[1]Base!$A$5:$B$265, 2, FALSE)</f>
        <v>1162.1199999999999</v>
      </c>
      <c r="G113" s="61">
        <f t="shared" si="6"/>
        <v>6.393487763742127E-2</v>
      </c>
      <c r="H113" s="62">
        <f>Tabla1[[#This Row],[Merval $]]/F113</f>
        <v>2319.5939317798507</v>
      </c>
      <c r="I113" s="63">
        <f t="shared" si="7"/>
        <v>3.7165098886109686E-2</v>
      </c>
      <c r="J113" s="63">
        <f t="shared" si="7"/>
        <v>2.5608268015326908E-4</v>
      </c>
      <c r="K113" s="64">
        <f>VLOOKUP(Tabla1[[#This Row],[Fecha]],[1]Base!$N$5:$O$263,2,FALSE)</f>
        <v>610</v>
      </c>
    </row>
    <row r="114" spans="1:11">
      <c r="A114" s="174">
        <v>45657</v>
      </c>
      <c r="B114">
        <v>72.099999999999994</v>
      </c>
      <c r="C114" s="60">
        <v>2695647</v>
      </c>
      <c r="D114" s="56">
        <f t="shared" si="5"/>
        <v>0</v>
      </c>
      <c r="E114" s="56">
        <f t="shared" si="5"/>
        <v>6.1983317949517606E-2</v>
      </c>
      <c r="F114">
        <f>VLOOKUP(A114,[1]Base!$A$5:$B$265, 2, FALSE)</f>
        <v>1170.4100000000001</v>
      </c>
      <c r="G114" s="61">
        <f t="shared" si="6"/>
        <v>6.1602344477576225E-2</v>
      </c>
      <c r="H114" s="62">
        <v>2319</v>
      </c>
      <c r="I114" s="63">
        <f t="shared" si="7"/>
        <v>0</v>
      </c>
      <c r="J114" s="63">
        <f t="shared" si="7"/>
        <v>6.8835241238419595E-2</v>
      </c>
      <c r="K114" s="64">
        <f>VLOOKUP(Tabla1[[#This Row],[Fecha]],[1]Base!$N$5:$O$263,2,FALSE)</f>
        <v>635</v>
      </c>
    </row>
    <row r="115" spans="1:11">
      <c r="A115" s="174">
        <v>45656</v>
      </c>
      <c r="B115">
        <v>72.099999999999994</v>
      </c>
      <c r="C115" s="60">
        <f>VLOOKUP(Tabla1[[#This Row],[Fecha]],[1]Base!$K$5:$L$249,2,FALSE)</f>
        <v>2533634.75</v>
      </c>
      <c r="D115" s="56">
        <f t="shared" si="5"/>
        <v>-4.076651447918566E-2</v>
      </c>
      <c r="E115" s="56">
        <f t="shared" si="5"/>
        <v>-1.718275469922631E-2</v>
      </c>
      <c r="F115">
        <f>VLOOKUP(A115,[1]Base!$A$5:$B$265, 2, FALSE)</f>
        <v>1170.4100000000001</v>
      </c>
      <c r="G115" s="61">
        <f t="shared" si="6"/>
        <v>6.1602344477576225E-2</v>
      </c>
      <c r="H115" s="62">
        <f>Tabla1[[#This Row],[Merval $]]/F115</f>
        <v>2164.7412018010782</v>
      </c>
      <c r="I115" s="63">
        <f t="shared" si="7"/>
        <v>-4.0638362473645127E-2</v>
      </c>
      <c r="J115" s="63">
        <f t="shared" si="7"/>
        <v>-1.7054602693685705E-2</v>
      </c>
      <c r="K115" s="64">
        <f>VLOOKUP(Tabla1[[#This Row],[Fecha]],[1]Base!$N$5:$O$263,2,FALSE)</f>
        <v>635</v>
      </c>
    </row>
    <row r="116" spans="1:11">
      <c r="A116" s="174">
        <v>45653</v>
      </c>
      <c r="B116">
        <v>75.099999999999994</v>
      </c>
      <c r="C116" s="60">
        <f>VLOOKUP(Tabla1[[#This Row],[Fecha]],[1]Base!$K$5:$L$249,2,FALSE)</f>
        <v>2577545.75</v>
      </c>
      <c r="D116" s="56">
        <f t="shared" si="5"/>
        <v>-2.8873396823287264E-2</v>
      </c>
      <c r="E116" s="56">
        <f t="shared" si="5"/>
        <v>-7.6688306706540988E-3</v>
      </c>
      <c r="F116">
        <f>VLOOKUP(A116,[1]Base!$A$5:$B$265, 2, FALSE)</f>
        <v>1170.56</v>
      </c>
      <c r="G116" s="61">
        <f t="shared" si="6"/>
        <v>6.4157326407873153E-2</v>
      </c>
      <c r="H116" s="62">
        <f>Tabla1[[#This Row],[Merval $]]/F116</f>
        <v>2201.9766180289776</v>
      </c>
      <c r="I116" s="63">
        <f t="shared" si="7"/>
        <v>-2.8591520206502605E-2</v>
      </c>
      <c r="J116" s="63">
        <f t="shared" si="7"/>
        <v>-7.3869540538695419E-3</v>
      </c>
      <c r="K116" s="64">
        <f>VLOOKUP(Tabla1[[#This Row],[Fecha]],[1]Base!$N$5:$O$263,2,FALSE)</f>
        <v>627</v>
      </c>
    </row>
    <row r="117" spans="1:11">
      <c r="A117" s="174">
        <v>45652</v>
      </c>
      <c r="B117">
        <v>77.3</v>
      </c>
      <c r="C117" s="60">
        <f>VLOOKUP(Tabla1[[#This Row],[Fecha]],[1]Base!$K$5:$L$249,2,FALSE)</f>
        <v>2597388.5</v>
      </c>
      <c r="D117" s="56">
        <f t="shared" si="5"/>
        <v>1.2944985626457955E-3</v>
      </c>
      <c r="E117" s="56">
        <f t="shared" si="5"/>
        <v>1.8013041987950035E-2</v>
      </c>
      <c r="F117">
        <f>VLOOKUP(A117,[1]Base!$A$5:$B$265, 2, FALSE)</f>
        <v>1170.8900000000001</v>
      </c>
      <c r="G117" s="61">
        <f t="shared" si="6"/>
        <v>6.6018157128338265E-2</v>
      </c>
      <c r="H117" s="62">
        <f>Tabla1[[#This Row],[Merval $]]/F117</f>
        <v>2218.3027440664791</v>
      </c>
      <c r="I117" s="63">
        <f t="shared" si="7"/>
        <v>-7.2137822458283119E-3</v>
      </c>
      <c r="J117" s="63">
        <f t="shared" si="7"/>
        <v>9.5047611794760543E-3</v>
      </c>
      <c r="K117" s="64">
        <f>VLOOKUP(Tabla1[[#This Row],[Fecha]],[1]Base!$N$5:$O$263,2,FALSE)</f>
        <v>631</v>
      </c>
    </row>
    <row r="118" spans="1:11">
      <c r="A118" s="174">
        <v>45650</v>
      </c>
      <c r="B118">
        <v>77.2</v>
      </c>
      <c r="C118" s="60">
        <f>VLOOKUP(Tabla1[[#This Row],[Fecha]],[1]Base!$K$5:$L$249,2,FALSE)</f>
        <v>2551020.5</v>
      </c>
      <c r="D118" s="56">
        <f t="shared" si="5"/>
        <v>1.2961764614468981E-3</v>
      </c>
      <c r="E118" s="56">
        <f t="shared" si="5"/>
        <v>1.9741649637550259E-2</v>
      </c>
      <c r="F118">
        <f>VLOOKUP(A118,[1]Base!$A$5:$B$265, 2, FALSE)</f>
        <v>1160.97</v>
      </c>
      <c r="G118" s="61">
        <f t="shared" si="6"/>
        <v>6.6496119624107425E-2</v>
      </c>
      <c r="H118" s="62">
        <f>Tabla1[[#This Row],[Merval $]]/F118</f>
        <v>2197.3181908231909</v>
      </c>
      <c r="I118" s="63">
        <f t="shared" si="7"/>
        <v>2.4411145403525109E-3</v>
      </c>
      <c r="J118" s="63">
        <f t="shared" si="7"/>
        <v>2.0886587716455664E-2</v>
      </c>
      <c r="K118" s="64">
        <f>VLOOKUP(Tabla1[[#This Row],[Fecha]],[1]Base!$N$5:$O$263,2,FALSE)</f>
        <v>649</v>
      </c>
    </row>
    <row r="119" spans="1:11">
      <c r="A119" s="174">
        <v>45649</v>
      </c>
      <c r="B119">
        <v>77.099999999999994</v>
      </c>
      <c r="C119" s="60">
        <f>VLOOKUP(Tabla1[[#This Row],[Fecha]],[1]Base!$K$5:$L$249,2,FALSE)</f>
        <v>2501153</v>
      </c>
      <c r="D119" s="56">
        <f t="shared" si="5"/>
        <v>-1.1605546120308003E-2</v>
      </c>
      <c r="E119" s="56">
        <f t="shared" si="5"/>
        <v>1.3521206897889699E-2</v>
      </c>
      <c r="F119">
        <f>VLOOKUP(A119,[1]Base!$A$5:$B$265, 2, FALSE)</f>
        <v>1162.3</v>
      </c>
      <c r="G119" s="61">
        <f t="shared" si="6"/>
        <v>6.6333992945022791E-2</v>
      </c>
      <c r="H119" s="62">
        <f>Tabla1[[#This Row],[Merval $]]/F119</f>
        <v>2151.8996816656631</v>
      </c>
      <c r="I119" s="63">
        <f t="shared" si="7"/>
        <v>-2.9050119539207681E-2</v>
      </c>
      <c r="J119" s="63">
        <f t="shared" si="7"/>
        <v>-3.923366521009824E-3</v>
      </c>
      <c r="K119" s="64">
        <f>VLOOKUP(Tabla1[[#This Row],[Fecha]],[1]Base!$N$5:$O$263,2,FALSE)</f>
        <v>649</v>
      </c>
    </row>
    <row r="120" spans="1:11">
      <c r="A120" s="174">
        <v>45646</v>
      </c>
      <c r="B120">
        <v>78</v>
      </c>
      <c r="C120" s="60">
        <f>VLOOKUP(Tabla1[[#This Row],[Fecha]],[1]Base!$K$5:$L$249,2,FALSE)</f>
        <v>2467562</v>
      </c>
      <c r="D120" s="56">
        <f t="shared" si="5"/>
        <v>2.9930666246188706E-2</v>
      </c>
      <c r="E120" s="56">
        <f t="shared" si="5"/>
        <v>1.9506777789546979E-2</v>
      </c>
      <c r="F120">
        <f>VLOOKUP(A120,[1]Base!$A$5:$B$265, 2, FALSE)</f>
        <v>1142.2</v>
      </c>
      <c r="G120" s="61">
        <f t="shared" si="6"/>
        <v>6.828926632813867E-2</v>
      </c>
      <c r="H120" s="62">
        <f>Tabla1[[#This Row],[Merval $]]/F120</f>
        <v>2160.3589563999299</v>
      </c>
      <c r="I120" s="63">
        <f t="shared" si="7"/>
        <v>2.0244614948928322E-2</v>
      </c>
      <c r="J120" s="63">
        <f t="shared" si="7"/>
        <v>9.8207264922870133E-3</v>
      </c>
      <c r="K120" s="64">
        <f>VLOOKUP(Tabla1[[#This Row],[Fecha]],[1]Base!$N$5:$O$263,2,FALSE)</f>
        <v>671</v>
      </c>
    </row>
    <row r="121" spans="1:11">
      <c r="A121" s="174">
        <v>45645</v>
      </c>
      <c r="B121">
        <v>75.7</v>
      </c>
      <c r="C121" s="60">
        <f>VLOOKUP(Tabla1[[#This Row],[Fecha]],[1]Base!$K$5:$L$249,2,FALSE)</f>
        <v>2419894.25</v>
      </c>
      <c r="D121" s="56">
        <f t="shared" si="5"/>
        <v>-5.8991460509312789E-2</v>
      </c>
      <c r="E121" s="56">
        <f t="shared" si="5"/>
        <v>-4.0938352339493993E-2</v>
      </c>
      <c r="F121">
        <f>VLOOKUP(A121,[1]Base!$A$5:$B$265, 2, FALSE)</f>
        <v>1131.19</v>
      </c>
      <c r="G121" s="61">
        <f t="shared" si="6"/>
        <v>6.6920676455767825E-2</v>
      </c>
      <c r="H121" s="62">
        <f>Tabla1[[#This Row],[Merval $]]/F121</f>
        <v>2139.246501471901</v>
      </c>
      <c r="I121" s="63">
        <f t="shared" si="7"/>
        <v>-5.8964940117339874E-2</v>
      </c>
      <c r="J121" s="63">
        <f t="shared" si="7"/>
        <v>-4.0911831947521043E-2</v>
      </c>
      <c r="K121" s="64">
        <f>VLOOKUP(Tabla1[[#This Row],[Fecha]],[1]Base!$N$5:$O$263,2,FALSE)</f>
        <v>663</v>
      </c>
    </row>
    <row r="122" spans="1:11">
      <c r="A122" s="174">
        <v>45644</v>
      </c>
      <c r="B122">
        <v>80.3</v>
      </c>
      <c r="C122" s="60">
        <f>VLOOKUP(Tabla1[[#This Row],[Fecha]],[1]Base!$K$5:$L$249,2,FALSE)</f>
        <v>2521016.5</v>
      </c>
      <c r="D122" s="56">
        <f t="shared" si="5"/>
        <v>-4.5047177890597694E-2</v>
      </c>
      <c r="E122" s="56">
        <f t="shared" si="5"/>
        <v>-2.7844935687289411E-2</v>
      </c>
      <c r="F122">
        <f>VLOOKUP(A122,[1]Base!$A$5:$B$265, 2, FALSE)</f>
        <v>1131.22</v>
      </c>
      <c r="G122" s="61">
        <f t="shared" si="6"/>
        <v>7.0985307897668007E-2</v>
      </c>
      <c r="H122" s="62">
        <f>Tabla1[[#This Row],[Merval $]]/F122</f>
        <v>2228.5819734445995</v>
      </c>
      <c r="I122" s="63">
        <f t="shared" si="7"/>
        <v>-3.2712188769377322E-2</v>
      </c>
      <c r="J122" s="63">
        <f t="shared" si="7"/>
        <v>-1.5509946566069081E-2</v>
      </c>
      <c r="K122" s="64">
        <f>VLOOKUP(Tabla1[[#This Row],[Fecha]],[1]Base!$N$5:$O$263,2,FALSE)</f>
        <v>658</v>
      </c>
    </row>
    <row r="123" spans="1:11">
      <c r="A123" s="174">
        <v>45643</v>
      </c>
      <c r="B123">
        <v>84</v>
      </c>
      <c r="C123" s="60">
        <f>VLOOKUP(Tabla1[[#This Row],[Fecha]],[1]Base!$K$5:$L$249,2,FALSE)</f>
        <v>2592200.5</v>
      </c>
      <c r="D123" s="56">
        <f t="shared" si="5"/>
        <v>4.2559614418795903E-2</v>
      </c>
      <c r="E123" s="56">
        <f t="shared" si="5"/>
        <v>1.9083211868502627E-2</v>
      </c>
      <c r="F123">
        <f>VLOOKUP(A123,[1]Base!$A$5:$B$265, 2, FALSE)</f>
        <v>1145.26</v>
      </c>
      <c r="G123" s="61">
        <f t="shared" si="6"/>
        <v>7.334579047552521E-2</v>
      </c>
      <c r="H123" s="62">
        <f>Tabla1[[#This Row],[Merval $]]/F123</f>
        <v>2263.4166040899008</v>
      </c>
      <c r="I123" s="63">
        <f t="shared" si="7"/>
        <v>2.4835331849781157E-3</v>
      </c>
      <c r="J123" s="63">
        <f t="shared" si="7"/>
        <v>-2.0992869365315164E-2</v>
      </c>
      <c r="K123" s="64">
        <f>VLOOKUP(Tabla1[[#This Row],[Fecha]],[1]Base!$N$5:$O$263,2,FALSE)</f>
        <v>673</v>
      </c>
    </row>
    <row r="124" spans="1:11">
      <c r="A124" s="174">
        <v>45642</v>
      </c>
      <c r="B124">
        <v>80.5</v>
      </c>
      <c r="C124" s="60">
        <f>VLOOKUP(Tabla1[[#This Row],[Fecha]],[1]Base!$K$5:$L$249,2,FALSE)</f>
        <v>2543202</v>
      </c>
      <c r="D124" s="56">
        <f t="shared" si="5"/>
        <v>0.10054122922187746</v>
      </c>
      <c r="E124" s="56">
        <f t="shared" si="5"/>
        <v>7.0254781443129563E-2</v>
      </c>
      <c r="F124">
        <f>VLOOKUP(A124,[1]Base!$A$5:$B$265, 2, FALSE)</f>
        <v>1100.27</v>
      </c>
      <c r="G124" s="61">
        <f t="shared" si="6"/>
        <v>7.316385977987222E-2</v>
      </c>
      <c r="H124" s="62">
        <f>Tabla1[[#This Row],[Merval $]]/F124</f>
        <v>2311.4344660855973</v>
      </c>
      <c r="I124" s="63">
        <f t="shared" si="7"/>
        <v>7.5518643176376049E-2</v>
      </c>
      <c r="J124" s="63">
        <f t="shared" si="7"/>
        <v>4.5232195397628072E-2</v>
      </c>
      <c r="K124" s="64">
        <f>VLOOKUP(Tabla1[[#This Row],[Fecha]],[1]Base!$N$5:$O$263,2,FALSE)</f>
        <v>677</v>
      </c>
    </row>
    <row r="125" spans="1:11">
      <c r="A125" s="174">
        <v>45639</v>
      </c>
      <c r="B125">
        <v>72.8</v>
      </c>
      <c r="C125" s="60">
        <f>VLOOKUP(Tabla1[[#This Row],[Fecha]],[1]Base!$K$5:$L$249,2,FALSE)</f>
        <v>2370661.75</v>
      </c>
      <c r="D125" s="56">
        <f t="shared" si="5"/>
        <v>-2.7434859457508326E-3</v>
      </c>
      <c r="E125" s="56">
        <f t="shared" si="5"/>
        <v>2.8483548016548416E-2</v>
      </c>
      <c r="F125">
        <f>VLOOKUP(A125,[1]Base!$A$5:$B$265, 2, FALSE)</f>
        <v>1073.08</v>
      </c>
      <c r="G125" s="61">
        <f t="shared" si="6"/>
        <v>6.7842099377492832E-2</v>
      </c>
      <c r="H125" s="62">
        <f>Tabla1[[#This Row],[Merval $]]/F125</f>
        <v>2209.2125004659488</v>
      </c>
      <c r="I125" s="63">
        <f t="shared" si="7"/>
        <v>-1.6697702678296976E-2</v>
      </c>
      <c r="J125" s="63">
        <f t="shared" si="7"/>
        <v>1.4529331284002286E-2</v>
      </c>
      <c r="K125" s="64">
        <f>VLOOKUP(Tabla1[[#This Row],[Fecha]],[1]Base!$N$5:$O$263,2,FALSE)</f>
        <v>708</v>
      </c>
    </row>
    <row r="126" spans="1:11">
      <c r="A126" s="174">
        <v>45638</v>
      </c>
      <c r="B126">
        <v>73</v>
      </c>
      <c r="C126" s="60">
        <f>VLOOKUP(Tabla1[[#This Row],[Fecha]],[1]Base!$K$5:$L$249,2,FALSE)</f>
        <v>2304089.5</v>
      </c>
      <c r="D126" s="56">
        <f t="shared" si="5"/>
        <v>-4.1011677442146779E-3</v>
      </c>
      <c r="E126" s="56">
        <f t="shared" si="5"/>
        <v>5.632039991498001E-3</v>
      </c>
      <c r="F126">
        <f>VLOOKUP(A126,[1]Base!$A$5:$B$265, 2, FALSE)</f>
        <v>1058.21</v>
      </c>
      <c r="G126" s="61">
        <f t="shared" si="6"/>
        <v>6.8984417081675659E-2</v>
      </c>
      <c r="H126" s="62">
        <f>Tabla1[[#This Row],[Merval $]]/F126</f>
        <v>2177.3461789247881</v>
      </c>
      <c r="I126" s="63">
        <f t="shared" si="7"/>
        <v>-4.564321070420237E-3</v>
      </c>
      <c r="J126" s="63">
        <f t="shared" si="7"/>
        <v>5.1688866652921973E-3</v>
      </c>
      <c r="K126" s="64">
        <f>VLOOKUP(Tabla1[[#This Row],[Fecha]],[1]Base!$N$5:$O$263,2,FALSE)</f>
        <v>715</v>
      </c>
    </row>
    <row r="127" spans="1:11">
      <c r="A127" s="174">
        <v>45637</v>
      </c>
      <c r="B127">
        <v>73.3</v>
      </c>
      <c r="C127" s="60">
        <f>VLOOKUP(Tabla1[[#This Row],[Fecha]],[1]Base!$K$5:$L$249,2,FALSE)</f>
        <v>2291149.25</v>
      </c>
      <c r="D127" s="56">
        <f t="shared" si="5"/>
        <v>0</v>
      </c>
      <c r="E127" s="56">
        <f t="shared" si="5"/>
        <v>4.0030097468557582E-2</v>
      </c>
      <c r="F127">
        <f>VLOOKUP(A127,[1]Base!$A$5:$B$265, 2, FALSE)</f>
        <v>1057.72</v>
      </c>
      <c r="G127" s="61">
        <f t="shared" si="6"/>
        <v>6.9300003781719161E-2</v>
      </c>
      <c r="H127" s="62">
        <f>Tabla1[[#This Row],[Merval $]]/F127</f>
        <v>2166.1207597473813</v>
      </c>
      <c r="I127" s="63">
        <f t="shared" si="7"/>
        <v>2.6437057470431375E-3</v>
      </c>
      <c r="J127" s="63">
        <f t="shared" si="7"/>
        <v>4.2673803215601096E-2</v>
      </c>
      <c r="K127" s="64">
        <f>VLOOKUP(Tabla1[[#This Row],[Fecha]],[1]Base!$N$5:$O$263,2,FALSE)</f>
        <v>719</v>
      </c>
    </row>
    <row r="128" spans="1:11">
      <c r="A128" s="174">
        <v>45636</v>
      </c>
      <c r="B128">
        <v>73.3</v>
      </c>
      <c r="C128" s="60">
        <f>VLOOKUP(Tabla1[[#This Row],[Fecha]],[1]Base!$K$5:$L$249,2,FALSE)</f>
        <v>2201245.75</v>
      </c>
      <c r="D128" s="56">
        <f t="shared" si="5"/>
        <v>-2.025727608782572E-2</v>
      </c>
      <c r="E128" s="56">
        <f t="shared" si="5"/>
        <v>-1.2466233066716608E-2</v>
      </c>
      <c r="F128">
        <f>VLOOKUP(A128,[1]Base!$A$5:$B$265, 2, FALSE)</f>
        <v>1060.52</v>
      </c>
      <c r="G128" s="61">
        <f t="shared" si="6"/>
        <v>6.9117036925281941E-2</v>
      </c>
      <c r="H128" s="62">
        <f>Tabla1[[#This Row],[Merval $]]/F128</f>
        <v>2075.6287010145966</v>
      </c>
      <c r="I128" s="63">
        <f t="shared" si="7"/>
        <v>-3.0883824662074261E-2</v>
      </c>
      <c r="J128" s="63">
        <f t="shared" si="7"/>
        <v>-2.3092781640965176E-2</v>
      </c>
      <c r="K128" s="64">
        <f>VLOOKUP(Tabla1[[#This Row],[Fecha]],[1]Base!$N$5:$O$263,2,FALSE)</f>
        <v>735</v>
      </c>
    </row>
    <row r="129" spans="1:11">
      <c r="A129" s="174">
        <v>45635</v>
      </c>
      <c r="B129">
        <v>74.8</v>
      </c>
      <c r="C129" s="60">
        <f>VLOOKUP(Tabla1[[#This Row],[Fecha]],[1]Base!$K$5:$L$249,2,FALSE)</f>
        <v>2228858.75</v>
      </c>
      <c r="D129" s="56">
        <f t="shared" si="5"/>
        <v>-1.9855053309979789E-2</v>
      </c>
      <c r="E129" s="56">
        <f t="shared" si="5"/>
        <v>1.1921916809400116E-2</v>
      </c>
      <c r="F129">
        <f>VLOOKUP(A129,[1]Base!$A$5:$B$265, 2, FALSE)</f>
        <v>1049.31</v>
      </c>
      <c r="G129" s="61">
        <f t="shared" si="6"/>
        <v>7.1284939626992977E-2</v>
      </c>
      <c r="H129" s="62">
        <f>Tabla1[[#This Row],[Merval $]]/F129</f>
        <v>2124.1184683268052</v>
      </c>
      <c r="I129" s="63">
        <f t="shared" si="7"/>
        <v>-1.9835993347336659E-2</v>
      </c>
      <c r="J129" s="63">
        <f t="shared" si="7"/>
        <v>1.1940976772043204E-2</v>
      </c>
      <c r="K129" s="64">
        <f>VLOOKUP(Tabla1[[#This Row],[Fecha]],[1]Base!$N$5:$O$263,2,FALSE)</f>
        <v>737</v>
      </c>
    </row>
    <row r="130" spans="1:11">
      <c r="A130" s="174">
        <v>45632</v>
      </c>
      <c r="B130">
        <v>76.3</v>
      </c>
      <c r="C130" s="60">
        <f>VLOOKUP(Tabla1[[#This Row],[Fecha]],[1]Base!$K$5:$L$249,2,FALSE)</f>
        <v>2202444.25</v>
      </c>
      <c r="D130" s="56">
        <f t="shared" si="5"/>
        <v>-3.9825429962678835E-2</v>
      </c>
      <c r="E130" s="56">
        <f t="shared" si="5"/>
        <v>-4.1407823469175806E-3</v>
      </c>
      <c r="F130">
        <f>VLOOKUP(A130,[1]Base!$A$5:$B$265, 2, FALSE)</f>
        <v>1049.33</v>
      </c>
      <c r="G130" s="61">
        <f t="shared" si="6"/>
        <v>7.2713064526888582E-2</v>
      </c>
      <c r="H130" s="62">
        <f>Tabla1[[#This Row],[Merval $]]/F130</f>
        <v>2098.9052538286337</v>
      </c>
      <c r="I130" s="63">
        <f t="shared" si="7"/>
        <v>-2.7672724619094584E-2</v>
      </c>
      <c r="J130" s="63">
        <f t="shared" si="7"/>
        <v>8.0119229966665942E-3</v>
      </c>
      <c r="K130" s="64">
        <f>VLOOKUP(Tabla1[[#This Row],[Fecha]],[1]Base!$N$5:$O$263,2,FALSE)</f>
        <v>769</v>
      </c>
    </row>
    <row r="131" spans="1:11">
      <c r="A131" s="174">
        <v>45631</v>
      </c>
      <c r="B131">
        <v>79.400000000000006</v>
      </c>
      <c r="C131" s="60">
        <f>VLOOKUP(Tabla1[[#This Row],[Fecha]],[1]Base!$K$5:$L$249,2,FALSE)</f>
        <v>2211583</v>
      </c>
      <c r="D131" s="56">
        <f t="shared" si="5"/>
        <v>-3.3439648205292313E-2</v>
      </c>
      <c r="E131" s="56">
        <f t="shared" si="5"/>
        <v>-2.1205507690158845E-3</v>
      </c>
      <c r="F131">
        <f>VLOOKUP(A131,[1]Base!$A$5:$B$265, 2, FALSE)</f>
        <v>1062.1600000000001</v>
      </c>
      <c r="G131" s="61">
        <f t="shared" si="6"/>
        <v>7.4753332831211869E-2</v>
      </c>
      <c r="H131" s="62">
        <f>Tabla1[[#This Row],[Merval $]]/F131</f>
        <v>2082.1561723280861</v>
      </c>
      <c r="I131" s="63">
        <f t="shared" si="7"/>
        <v>-2.0177821853884895E-2</v>
      </c>
      <c r="J131" s="63">
        <f t="shared" si="7"/>
        <v>1.1141275582391487E-2</v>
      </c>
      <c r="K131" s="64">
        <f>VLOOKUP(Tabla1[[#This Row],[Fecha]],[1]Base!$N$5:$O$263,2,FALSE)</f>
        <v>760</v>
      </c>
    </row>
    <row r="132" spans="1:11">
      <c r="A132" s="174">
        <v>45630</v>
      </c>
      <c r="B132">
        <v>82.1</v>
      </c>
      <c r="C132" s="60">
        <f>VLOOKUP(Tabla1[[#This Row],[Fecha]],[1]Base!$K$5:$L$249,2,FALSE)</f>
        <v>2216277.75</v>
      </c>
      <c r="D132" s="56">
        <f t="shared" si="5"/>
        <v>-1.5710292906318663E-2</v>
      </c>
      <c r="E132" s="56">
        <f t="shared" si="5"/>
        <v>-3.8813303067964156E-2</v>
      </c>
      <c r="F132">
        <f>VLOOKUP(A132,[1]Base!$A$5:$B$265, 2, FALSE)</f>
        <v>1076.3399999999999</v>
      </c>
      <c r="G132" s="61">
        <f t="shared" si="6"/>
        <v>7.6277012839808978E-2</v>
      </c>
      <c r="H132" s="62">
        <f>Tabla1[[#This Row],[Merval $]]/F132</f>
        <v>2059.0870449857853</v>
      </c>
      <c r="I132" s="63">
        <f t="shared" si="7"/>
        <v>-1.6351559848679208E-2</v>
      </c>
      <c r="J132" s="63">
        <f t="shared" si="7"/>
        <v>-3.9454570010324742E-2</v>
      </c>
      <c r="K132" s="64">
        <f>VLOOKUP(Tabla1[[#This Row],[Fecha]],[1]Base!$N$5:$O$263,2,FALSE)</f>
        <v>751</v>
      </c>
    </row>
    <row r="133" spans="1:11">
      <c r="A133" s="174">
        <v>45629</v>
      </c>
      <c r="B133">
        <v>83.4</v>
      </c>
      <c r="C133" s="60">
        <f>VLOOKUP(Tabla1[[#This Row],[Fecha]],[1]Base!$K$5:$L$249,2,FALSE)</f>
        <v>2303990</v>
      </c>
      <c r="D133" s="56">
        <f t="shared" si="5"/>
        <v>5.5467081512872454E-2</v>
      </c>
      <c r="E133" s="56">
        <f t="shared" si="5"/>
        <v>3.7215592778073246E-3</v>
      </c>
      <c r="F133">
        <f>VLOOKUP(A133,[1]Base!$A$5:$B$265, 2, FALSE)</f>
        <v>1075.6500000000001</v>
      </c>
      <c r="G133" s="61">
        <f t="shared" si="6"/>
        <v>7.7534514014781758E-2</v>
      </c>
      <c r="H133" s="62">
        <f>Tabla1[[#This Row],[Merval $]]/F133</f>
        <v>2141.9513782364152</v>
      </c>
      <c r="I133" s="63">
        <f t="shared" si="7"/>
        <v>4.9162678340211041E-2</v>
      </c>
      <c r="J133" s="63">
        <f t="shared" si="7"/>
        <v>-2.5828438948541465E-3</v>
      </c>
      <c r="K133" s="64">
        <f>VLOOKUP(Tabla1[[#This Row],[Fecha]],[1]Base!$N$5:$O$263,2,FALSE)</f>
        <v>754</v>
      </c>
    </row>
    <row r="134" spans="1:11">
      <c r="A134" s="174">
        <v>45628</v>
      </c>
      <c r="B134">
        <v>78.900000000000006</v>
      </c>
      <c r="C134" s="60">
        <f>VLOOKUP(Tabla1[[#This Row],[Fecha]],[1]Base!$K$5:$L$249,2,FALSE)</f>
        <v>2295431.5</v>
      </c>
      <c r="D134" s="56">
        <f t="shared" si="5"/>
        <v>5.4701135713056966E-2</v>
      </c>
      <c r="E134" s="56">
        <f t="shared" si="5"/>
        <v>1.6310739484790397E-2</v>
      </c>
      <c r="F134">
        <f>VLOOKUP(A134,[1]Base!$A$5:$B$265, 2, FALSE)</f>
        <v>1068.8900000000001</v>
      </c>
      <c r="G134" s="61">
        <f t="shared" si="6"/>
        <v>7.3814892084311759E-2</v>
      </c>
      <c r="H134" s="62">
        <f>Tabla1[[#This Row],[Merval $]]/F134</f>
        <v>2147.490854999111</v>
      </c>
      <c r="I134" s="63">
        <f t="shared" si="7"/>
        <v>6.110779740463932E-2</v>
      </c>
      <c r="J134" s="63">
        <f t="shared" si="7"/>
        <v>2.2717401176372828E-2</v>
      </c>
      <c r="K134" s="64">
        <f>VLOOKUP(Tabla1[[#This Row],[Fecha]],[1]Base!$N$5:$O$263,2,FALSE)</f>
        <v>749</v>
      </c>
    </row>
    <row r="135" spans="1:11">
      <c r="A135" s="174">
        <v>45625</v>
      </c>
      <c r="B135">
        <v>74.7</v>
      </c>
      <c r="C135" s="60">
        <f>VLOOKUP(Tabla1[[#This Row],[Fecha]],[1]Base!$K$5:$L$249,2,FALSE)</f>
        <v>2258295</v>
      </c>
      <c r="D135" s="56">
        <f t="shared" si="5"/>
        <v>5.0800215097456136E-2</v>
      </c>
      <c r="E135" s="56">
        <f t="shared" si="5"/>
        <v>1.2248381375193044E-2</v>
      </c>
      <c r="F135">
        <f>VLOOKUP(A135,[1]Base!$A$5:$B$265, 2, FALSE)</f>
        <v>1075.76</v>
      </c>
      <c r="G135" s="61">
        <f t="shared" si="6"/>
        <v>6.9439280136833495E-2</v>
      </c>
      <c r="H135" s="62">
        <f>Tabla1[[#This Row],[Merval $]]/F135</f>
        <v>2099.2554101286532</v>
      </c>
      <c r="I135" s="63">
        <f t="shared" si="7"/>
        <v>5.0233013293239509E-2</v>
      </c>
      <c r="J135" s="63">
        <f t="shared" si="7"/>
        <v>1.1681179570976306E-2</v>
      </c>
      <c r="K135" s="64">
        <f>VLOOKUP(Tabla1[[#This Row],[Fecha]],[1]Base!$N$5:$O$263,2,FALSE)</f>
        <v>752</v>
      </c>
    </row>
    <row r="136" spans="1:11">
      <c r="A136" s="174">
        <v>45624</v>
      </c>
      <c r="B136">
        <v>71</v>
      </c>
      <c r="C136" s="60">
        <f>VLOOKUP(Tabla1[[#This Row],[Fecha]],[1]Base!$K$5:$L$249,2,FALSE)</f>
        <v>2230803.25</v>
      </c>
      <c r="D136" s="56">
        <f t="shared" si="5"/>
        <v>7.0671672230923528E-3</v>
      </c>
      <c r="E136" s="56">
        <f t="shared" si="5"/>
        <v>1.1523108571118986E-2</v>
      </c>
      <c r="F136">
        <f>VLOOKUP(A136,[1]Base!$A$5:$B$265, 2, FALSE)</f>
        <v>1075.1500000000001</v>
      </c>
      <c r="G136" s="61">
        <f t="shared" si="6"/>
        <v>6.6037297121331898E-2</v>
      </c>
      <c r="H136" s="62">
        <f>Tabla1[[#This Row],[Merval $]]/F136</f>
        <v>2074.8762963307445</v>
      </c>
      <c r="I136" s="63">
        <f t="shared" si="7"/>
        <v>6.5647855513171873E-3</v>
      </c>
      <c r="J136" s="63">
        <f t="shared" si="7"/>
        <v>1.1020726899344085E-2</v>
      </c>
      <c r="K136" s="64">
        <f>VLOOKUP(Tabla1[[#This Row],[Fecha]],[1]Base!$N$5:$O$263,2,FALSE)</f>
        <v>752</v>
      </c>
    </row>
    <row r="137" spans="1:11">
      <c r="A137" s="174">
        <v>45623</v>
      </c>
      <c r="B137">
        <v>70.5</v>
      </c>
      <c r="C137" s="60">
        <f>VLOOKUP(Tabla1[[#This Row],[Fecha]],[1]Base!$K$5:$L$249,2,FALSE)</f>
        <v>2205245</v>
      </c>
      <c r="D137" s="56">
        <f t="shared" si="5"/>
        <v>-6.0541180704950869E-2</v>
      </c>
      <c r="E137" s="56">
        <f t="shared" si="5"/>
        <v>-2.109831769306119E-2</v>
      </c>
      <c r="F137">
        <f>VLOOKUP(A137,[1]Base!$A$5:$B$265, 2, FALSE)</f>
        <v>1074.6099999999999</v>
      </c>
      <c r="G137" s="61">
        <f t="shared" si="6"/>
        <v>6.5605196303775329E-2</v>
      </c>
      <c r="H137" s="62">
        <f>Tabla1[[#This Row],[Merval $]]/F137</f>
        <v>2052.1351932328939</v>
      </c>
      <c r="I137" s="63">
        <f t="shared" si="7"/>
        <v>-5.9137006077632448E-2</v>
      </c>
      <c r="J137" s="63">
        <f t="shared" si="7"/>
        <v>-1.9694143065742676E-2</v>
      </c>
      <c r="K137" s="64">
        <f>VLOOKUP(Tabla1[[#This Row],[Fecha]],[1]Base!$N$5:$O$263,2,FALSE)</f>
        <v>755</v>
      </c>
    </row>
    <row r="138" spans="1:11">
      <c r="A138" s="174">
        <v>45622</v>
      </c>
      <c r="B138">
        <v>74.900000000000006</v>
      </c>
      <c r="C138" s="60">
        <f>VLOOKUP(Tabla1[[#This Row],[Fecha]],[1]Base!$K$5:$L$249,2,FALSE)</f>
        <v>2252266.25</v>
      </c>
      <c r="D138" s="56">
        <f t="shared" ref="D138:E201" si="8">LN(B138/B139)</f>
        <v>9.3897403498391374E-3</v>
      </c>
      <c r="E138" s="56">
        <f t="shared" si="8"/>
        <v>1.5082651452256679E-2</v>
      </c>
      <c r="F138">
        <f>VLOOKUP(A138,[1]Base!$A$5:$B$265, 2, FALSE)</f>
        <v>1076.1199999999999</v>
      </c>
      <c r="G138" s="61">
        <f t="shared" ref="G138:G201" si="9">B138/F138</f>
        <v>6.9601903133479553E-2</v>
      </c>
      <c r="H138" s="62">
        <f>Tabla1[[#This Row],[Merval $]]/F138</f>
        <v>2092.9508326208975</v>
      </c>
      <c r="I138" s="63">
        <f t="shared" si="7"/>
        <v>1.0745546844382583E-2</v>
      </c>
      <c r="J138" s="63">
        <f t="shared" si="7"/>
        <v>1.6438457946799979E-2</v>
      </c>
      <c r="K138" s="64">
        <f>VLOOKUP(Tabla1[[#This Row],[Fecha]],[1]Base!$N$5:$O$263,2,FALSE)</f>
        <v>751</v>
      </c>
    </row>
    <row r="139" spans="1:11">
      <c r="A139" s="174">
        <v>45621</v>
      </c>
      <c r="B139">
        <v>74.2</v>
      </c>
      <c r="C139" s="60">
        <f>VLOOKUP(Tabla1[[#This Row],[Fecha]],[1]Base!$K$5:$L$249,2,FALSE)</f>
        <v>2218551</v>
      </c>
      <c r="D139" s="56">
        <f t="shared" si="8"/>
        <v>-3.8339130395948905E-2</v>
      </c>
      <c r="E139" s="56">
        <f t="shared" si="8"/>
        <v>2.9626213877614466E-3</v>
      </c>
      <c r="F139">
        <f>VLOOKUP(A139,[1]Base!$A$5:$B$265, 2, FALSE)</f>
        <v>1077.58</v>
      </c>
      <c r="G139" s="61">
        <f t="shared" si="9"/>
        <v>6.8857996622060547E-2</v>
      </c>
      <c r="H139" s="62">
        <f>Tabla1[[#This Row],[Merval $]]/F139</f>
        <v>2058.8271868445963</v>
      </c>
      <c r="I139" s="63">
        <f t="shared" ref="I139:J202" si="10">LN(G139/G140)</f>
        <v>-3.572557363897301E-2</v>
      </c>
      <c r="J139" s="63">
        <f t="shared" si="10"/>
        <v>5.5761781447373612E-3</v>
      </c>
      <c r="K139" s="64">
        <f>VLOOKUP(Tabla1[[#This Row],[Fecha]],[1]Base!$N$5:$O$263,2,FALSE)</f>
        <v>748</v>
      </c>
    </row>
    <row r="140" spans="1:11">
      <c r="A140" s="174">
        <v>45618</v>
      </c>
      <c r="B140">
        <v>77.099999999999994</v>
      </c>
      <c r="C140" s="60">
        <f>VLOOKUP(Tabla1[[#This Row],[Fecha]],[1]Base!$K$5:$L$249,2,FALSE)</f>
        <v>2211988</v>
      </c>
      <c r="D140" s="56">
        <f t="shared" si="8"/>
        <v>4.9179344948813826E-2</v>
      </c>
      <c r="E140" s="56">
        <f t="shared" si="8"/>
        <v>3.3040854032725699E-2</v>
      </c>
      <c r="F140">
        <f>VLOOKUP(A140,[1]Base!$A$5:$B$265, 2, FALSE)</f>
        <v>1080.4000000000001</v>
      </c>
      <c r="G140" s="61">
        <f t="shared" si="9"/>
        <v>7.1362458348759705E-2</v>
      </c>
      <c r="H140" s="62">
        <f>Tabla1[[#This Row],[Merval $]]/F140</f>
        <v>2047.378748611625</v>
      </c>
      <c r="I140" s="63">
        <f t="shared" si="10"/>
        <v>4.7836348011828116E-2</v>
      </c>
      <c r="J140" s="63">
        <f t="shared" si="10"/>
        <v>3.1697857095739884E-2</v>
      </c>
      <c r="K140" s="64">
        <f>VLOOKUP(Tabla1[[#This Row],[Fecha]],[1]Base!$N$5:$O$263,2,FALSE)</f>
        <v>745</v>
      </c>
    </row>
    <row r="141" spans="1:11">
      <c r="A141" s="174">
        <v>45617</v>
      </c>
      <c r="B141">
        <v>73.400000000000006</v>
      </c>
      <c r="C141" s="60">
        <f>VLOOKUP(Tabla1[[#This Row],[Fecha]],[1]Base!$K$5:$L$249,2,FALSE)</f>
        <v>2140096.25</v>
      </c>
      <c r="D141" s="56">
        <f t="shared" si="8"/>
        <v>7.2014169043725706E-2</v>
      </c>
      <c r="E141" s="56">
        <f t="shared" si="8"/>
        <v>-2.7416754379095787E-3</v>
      </c>
      <c r="F141">
        <f>VLOOKUP(A141,[1]Base!$A$5:$B$265, 2, FALSE)</f>
        <v>1078.95</v>
      </c>
      <c r="G141" s="61">
        <f t="shared" si="9"/>
        <v>6.8029102368043007E-2</v>
      </c>
      <c r="H141" s="62">
        <f>Tabla1[[#This Row],[Merval $]]/F141</f>
        <v>1983.4990036609665</v>
      </c>
      <c r="I141" s="63">
        <f t="shared" si="10"/>
        <v>6.8216243584878392E-2</v>
      </c>
      <c r="J141" s="63">
        <f t="shared" si="10"/>
        <v>-6.5396008967568463E-3</v>
      </c>
      <c r="K141" s="64">
        <f>VLOOKUP(Tabla1[[#This Row],[Fecha]],[1]Base!$N$5:$O$263,2,FALSE)</f>
        <v>734</v>
      </c>
    </row>
    <row r="142" spans="1:11">
      <c r="A142" s="174">
        <v>45616</v>
      </c>
      <c r="B142">
        <v>68.3</v>
      </c>
      <c r="C142" s="60">
        <f>VLOOKUP(Tabla1[[#This Row],[Fecha]],[1]Base!$K$5:$L$249,2,FALSE)</f>
        <v>2145971.75</v>
      </c>
      <c r="D142" s="56">
        <f t="shared" si="8"/>
        <v>6.0350135333170636E-2</v>
      </c>
      <c r="E142" s="56">
        <f t="shared" si="8"/>
        <v>1.0097186532658977E-2</v>
      </c>
      <c r="F142">
        <f>VLOOKUP(A142,[1]Base!$A$5:$B$265, 2, FALSE)</f>
        <v>1074.8599999999999</v>
      </c>
      <c r="G142" s="61">
        <f t="shared" si="9"/>
        <v>6.3543159109093278E-2</v>
      </c>
      <c r="H142" s="62">
        <f>Tabla1[[#This Row],[Merval $]]/F142</f>
        <v>1996.512801667194</v>
      </c>
      <c r="I142" s="63">
        <f t="shared" si="10"/>
        <v>6.0591998049351677E-2</v>
      </c>
      <c r="J142" s="63">
        <f t="shared" si="10"/>
        <v>1.0339049248839905E-2</v>
      </c>
      <c r="K142" s="64">
        <f>VLOOKUP(Tabla1[[#This Row],[Fecha]],[1]Base!$N$5:$O$263,2,FALSE)</f>
        <v>720</v>
      </c>
    </row>
    <row r="143" spans="1:11">
      <c r="A143" s="174">
        <v>45615</v>
      </c>
      <c r="B143">
        <v>64.3</v>
      </c>
      <c r="C143" s="60">
        <f>VLOOKUP(Tabla1[[#This Row],[Fecha]],[1]Base!$K$5:$L$249,2,FALSE)</f>
        <v>2124412.5</v>
      </c>
      <c r="D143" s="56">
        <f t="shared" si="8"/>
        <v>-4.7085386674687743E-2</v>
      </c>
      <c r="E143" s="56">
        <f t="shared" si="8"/>
        <v>2.7438015155436205E-2</v>
      </c>
      <c r="F143">
        <f>VLOOKUP(A143,[1]Base!$A$5:$B$265, 2, FALSE)</f>
        <v>1075.1199999999999</v>
      </c>
      <c r="G143" s="61">
        <f t="shared" si="9"/>
        <v>5.9807277327182086E-2</v>
      </c>
      <c r="H143" s="62">
        <f>Tabla1[[#This Row],[Merval $]]/F143</f>
        <v>1975.977100230672</v>
      </c>
      <c r="I143" s="63">
        <f t="shared" si="10"/>
        <v>-2.7832233396849003E-2</v>
      </c>
      <c r="J143" s="63">
        <f t="shared" si="10"/>
        <v>4.6691168433275143E-2</v>
      </c>
      <c r="K143" s="64">
        <f>VLOOKUP(Tabla1[[#This Row],[Fecha]],[1]Base!$N$5:$O$263,2,FALSE)</f>
        <v>746</v>
      </c>
    </row>
    <row r="144" spans="1:11">
      <c r="A144" s="174">
        <v>45611</v>
      </c>
      <c r="B144">
        <v>67.400000000000006</v>
      </c>
      <c r="C144" s="60">
        <f>VLOOKUP(Tabla1[[#This Row],[Fecha]],[1]Base!$K$5:$L$249,2,FALSE)</f>
        <v>2066915.25</v>
      </c>
      <c r="D144" s="56">
        <f t="shared" si="8"/>
        <v>4.7085386674687861E-2</v>
      </c>
      <c r="E144" s="56">
        <f t="shared" si="8"/>
        <v>-9.9801387845233468E-3</v>
      </c>
      <c r="F144">
        <f>VLOOKUP(A144,[1]Base!$A$5:$B$265, 2, FALSE)</f>
        <v>1096.02</v>
      </c>
      <c r="G144" s="61">
        <f t="shared" si="9"/>
        <v>6.1495228189266622E-2</v>
      </c>
      <c r="H144" s="62">
        <f>Tabla1[[#This Row],[Merval $]]/F144</f>
        <v>1885.8371653801937</v>
      </c>
      <c r="I144" s="63">
        <f t="shared" si="10"/>
        <v>5.5923787906476605E-2</v>
      </c>
      <c r="J144" s="63">
        <f t="shared" si="10"/>
        <v>-1.1417375527345728E-3</v>
      </c>
      <c r="K144" s="64">
        <f>VLOOKUP(Tabla1[[#This Row],[Fecha]],[1]Base!$N$5:$O$263,2,FALSE)</f>
        <v>769</v>
      </c>
    </row>
    <row r="145" spans="1:11">
      <c r="A145" s="174">
        <v>45610</v>
      </c>
      <c r="B145">
        <v>64.3</v>
      </c>
      <c r="C145" s="60">
        <f>VLOOKUP(Tabla1[[#This Row],[Fecha]],[1]Base!$K$5:$L$249,2,FALSE)</f>
        <v>2087646.63</v>
      </c>
      <c r="D145" s="56">
        <f t="shared" si="8"/>
        <v>7.0883126122169973E-2</v>
      </c>
      <c r="E145" s="56">
        <f t="shared" si="8"/>
        <v>2.1837900351657762E-2</v>
      </c>
      <c r="F145">
        <f>VLOOKUP(A145,[1]Base!$A$5:$B$265, 2, FALSE)</f>
        <v>1105.75</v>
      </c>
      <c r="G145" s="61">
        <f t="shared" si="9"/>
        <v>5.8150576531765766E-2</v>
      </c>
      <c r="H145" s="62">
        <f>Tabla1[[#This Row],[Merval $]]/F145</f>
        <v>1887.9915261134975</v>
      </c>
      <c r="I145" s="63">
        <f t="shared" si="10"/>
        <v>8.4678554304400286E-2</v>
      </c>
      <c r="J145" s="63">
        <f t="shared" si="10"/>
        <v>3.5633328533888245E-2</v>
      </c>
      <c r="K145" s="64">
        <f>VLOOKUP(Tabla1[[#This Row],[Fecha]],[1]Base!$N$5:$O$263,2,FALSE)</f>
        <v>772</v>
      </c>
    </row>
    <row r="146" spans="1:11">
      <c r="A146" s="174">
        <v>45609</v>
      </c>
      <c r="B146">
        <v>59.9</v>
      </c>
      <c r="C146" s="60">
        <f>VLOOKUP(Tabla1[[#This Row],[Fecha]],[1]Base!$K$5:$L$249,2,FALSE)</f>
        <v>2042551</v>
      </c>
      <c r="D146" s="56">
        <f t="shared" si="8"/>
        <v>2.7074411764957004E-2</v>
      </c>
      <c r="E146" s="56">
        <f t="shared" si="8"/>
        <v>1.5049946718000968E-2</v>
      </c>
      <c r="F146">
        <f>VLOOKUP(A146,[1]Base!$A$5:$B$265, 2, FALSE)</f>
        <v>1121.1099999999999</v>
      </c>
      <c r="G146" s="61">
        <f t="shared" si="9"/>
        <v>5.3429190712775736E-2</v>
      </c>
      <c r="H146" s="62">
        <f>Tabla1[[#This Row],[Merval $]]/F146</f>
        <v>1821.9006163534357</v>
      </c>
      <c r="I146" s="63">
        <f t="shared" si="10"/>
        <v>3.0004705866667387E-2</v>
      </c>
      <c r="J146" s="63">
        <f t="shared" si="10"/>
        <v>1.7980240819711373E-2</v>
      </c>
      <c r="K146" s="64">
        <f>VLOOKUP(Tabla1[[#This Row],[Fecha]],[1]Base!$N$5:$O$263,2,FALSE)</f>
        <v>800</v>
      </c>
    </row>
    <row r="147" spans="1:11">
      <c r="A147" s="174">
        <v>45608</v>
      </c>
      <c r="B147">
        <v>58.3</v>
      </c>
      <c r="C147" s="60">
        <f>VLOOKUP(Tabla1[[#This Row],[Fecha]],[1]Base!$K$5:$L$249,2,FALSE)</f>
        <v>2012040.88</v>
      </c>
      <c r="D147" s="56">
        <f t="shared" si="8"/>
        <v>8.6133176781149293E-3</v>
      </c>
      <c r="E147" s="56">
        <f t="shared" si="8"/>
        <v>1.2097990044287495E-2</v>
      </c>
      <c r="F147">
        <f>VLOOKUP(A147,[1]Base!$A$5:$B$265, 2, FALSE)</f>
        <v>1124.4000000000001</v>
      </c>
      <c r="G147" s="61">
        <f t="shared" si="9"/>
        <v>5.1849875489149759E-2</v>
      </c>
      <c r="H147" s="62">
        <f>Tabla1[[#This Row],[Merval $]]/F147</f>
        <v>1789.4351476342936</v>
      </c>
      <c r="I147" s="63">
        <f t="shared" si="10"/>
        <v>1.4669293945577571E-2</v>
      </c>
      <c r="J147" s="63">
        <f t="shared" si="10"/>
        <v>1.8153966311750234E-2</v>
      </c>
      <c r="K147" s="64">
        <f>VLOOKUP(Tabla1[[#This Row],[Fecha]],[1]Base!$N$5:$O$263,2,FALSE)</f>
        <v>819</v>
      </c>
    </row>
    <row r="148" spans="1:11">
      <c r="A148" s="174">
        <v>45607</v>
      </c>
      <c r="B148">
        <v>57.8</v>
      </c>
      <c r="C148" s="60">
        <f>VLOOKUP(Tabla1[[#This Row],[Fecha]],[1]Base!$K$5:$L$249,2,FALSE)</f>
        <v>1987845.88</v>
      </c>
      <c r="D148" s="56">
        <f t="shared" si="8"/>
        <v>2.4519617174318446E-2</v>
      </c>
      <c r="E148" s="56">
        <f t="shared" si="8"/>
        <v>1.1820310283999968E-2</v>
      </c>
      <c r="F148">
        <f>VLOOKUP(A148,[1]Base!$A$5:$B$265, 2, FALSE)</f>
        <v>1131.23</v>
      </c>
      <c r="G148" s="61">
        <f t="shared" si="9"/>
        <v>5.1094825985873782E-2</v>
      </c>
      <c r="H148" s="62">
        <f>Tabla1[[#This Row],[Merval $]]/F148</f>
        <v>1757.2428949020091</v>
      </c>
      <c r="I148" s="63">
        <f t="shared" si="10"/>
        <v>2.360868907022199E-2</v>
      </c>
      <c r="J148" s="63">
        <f t="shared" si="10"/>
        <v>1.0909382179903412E-2</v>
      </c>
      <c r="K148" s="64">
        <f>VLOOKUP(Tabla1[[#This Row],[Fecha]],[1]Base!$N$5:$O$263,2,FALSE)</f>
        <v>850</v>
      </c>
    </row>
    <row r="149" spans="1:11">
      <c r="A149" s="174">
        <v>45604</v>
      </c>
      <c r="B149">
        <v>56.4</v>
      </c>
      <c r="C149" s="60">
        <f>VLOOKUP(Tabla1[[#This Row],[Fecha]],[1]Base!$K$5:$L$249,2,FALSE)</f>
        <v>1964487.25</v>
      </c>
      <c r="D149" s="56">
        <f t="shared" si="8"/>
        <v>-1.5831465216680628E-2</v>
      </c>
      <c r="E149" s="56">
        <f t="shared" si="8"/>
        <v>-2.5664686310065986E-2</v>
      </c>
      <c r="F149">
        <f>VLOOKUP(A149,[1]Base!$A$5:$B$265, 2, FALSE)</f>
        <v>1130.2</v>
      </c>
      <c r="G149" s="61">
        <f t="shared" si="9"/>
        <v>4.990267209343479E-2</v>
      </c>
      <c r="H149" s="62">
        <f>Tabla1[[#This Row],[Merval $]]/F149</f>
        <v>1738.1766501504158</v>
      </c>
      <c r="I149" s="63">
        <f t="shared" si="10"/>
        <v>-1.0721555986973342E-2</v>
      </c>
      <c r="J149" s="63">
        <f t="shared" si="10"/>
        <v>-2.0554777080358754E-2</v>
      </c>
      <c r="K149" s="64">
        <f>VLOOKUP(Tabla1[[#This Row],[Fecha]],[1]Base!$N$5:$O$263,2,FALSE)</f>
        <v>850</v>
      </c>
    </row>
    <row r="150" spans="1:11">
      <c r="A150" s="174">
        <v>45603</v>
      </c>
      <c r="B150">
        <v>57.3</v>
      </c>
      <c r="C150" s="60">
        <f>VLOOKUP(Tabla1[[#This Row],[Fecha]],[1]Base!$K$5:$L$249,2,FALSE)</f>
        <v>2015557.75</v>
      </c>
      <c r="D150" s="56">
        <f t="shared" si="8"/>
        <v>5.9316577156419505E-2</v>
      </c>
      <c r="E150" s="56">
        <f t="shared" si="8"/>
        <v>1.9511182215675781E-2</v>
      </c>
      <c r="F150">
        <f>VLOOKUP(A150,[1]Base!$A$5:$B$265, 2, FALSE)</f>
        <v>1135.99</v>
      </c>
      <c r="G150" s="61">
        <f t="shared" si="9"/>
        <v>5.0440584864303382E-2</v>
      </c>
      <c r="H150" s="62">
        <f>Tabla1[[#This Row],[Merval $]]/F150</f>
        <v>1774.2742013574064</v>
      </c>
      <c r="I150" s="63">
        <f t="shared" si="10"/>
        <v>6.7819135304075212E-2</v>
      </c>
      <c r="J150" s="63">
        <f t="shared" si="10"/>
        <v>2.8013740363331405E-2</v>
      </c>
      <c r="K150" s="64">
        <f>VLOOKUP(Tabla1[[#This Row],[Fecha]],[1]Base!$N$5:$O$263,2,FALSE)</f>
        <v>859</v>
      </c>
    </row>
    <row r="151" spans="1:11">
      <c r="A151" s="174">
        <v>45602</v>
      </c>
      <c r="B151">
        <v>54</v>
      </c>
      <c r="C151" s="60">
        <f>VLOOKUP(Tabla1[[#This Row],[Fecha]],[1]Base!$K$5:$L$249,2,FALSE)</f>
        <v>1976613</v>
      </c>
      <c r="D151" s="56">
        <f t="shared" si="8"/>
        <v>-1.4706147389695449E-2</v>
      </c>
      <c r="E151" s="56">
        <f t="shared" si="8"/>
        <v>2.3201193260778817E-2</v>
      </c>
      <c r="F151">
        <f>VLOOKUP(A151,[1]Base!$A$5:$B$265, 2, FALSE)</f>
        <v>1145.69</v>
      </c>
      <c r="G151" s="61">
        <f t="shared" si="9"/>
        <v>4.7133168658188514E-2</v>
      </c>
      <c r="H151" s="62">
        <f>Tabla1[[#This Row],[Merval $]]/F151</f>
        <v>1725.2598870549625</v>
      </c>
      <c r="I151" s="63">
        <f t="shared" si="10"/>
        <v>-7.9124243489929035E-3</v>
      </c>
      <c r="J151" s="63">
        <f t="shared" si="10"/>
        <v>2.9994916301481218E-2</v>
      </c>
      <c r="K151" s="64">
        <f>VLOOKUP(Tabla1[[#This Row],[Fecha]],[1]Base!$N$5:$O$263,2,FALSE)</f>
        <v>870</v>
      </c>
    </row>
    <row r="152" spans="1:11">
      <c r="A152" s="174">
        <v>45601</v>
      </c>
      <c r="B152">
        <v>54.8</v>
      </c>
      <c r="C152" s="60">
        <f>VLOOKUP(Tabla1[[#This Row],[Fecha]],[1]Base!$K$5:$L$249,2,FALSE)</f>
        <v>1931281.13</v>
      </c>
      <c r="D152" s="56">
        <f t="shared" si="8"/>
        <v>-3.055044419842548E-2</v>
      </c>
      <c r="E152" s="56">
        <f t="shared" si="8"/>
        <v>6.3449712807427845E-3</v>
      </c>
      <c r="F152">
        <f>VLOOKUP(A152,[1]Base!$A$5:$B$265, 2, FALSE)</f>
        <v>1153.5</v>
      </c>
      <c r="G152" s="61">
        <f t="shared" si="9"/>
        <v>4.7507585609016037E-2</v>
      </c>
      <c r="H152" s="62">
        <f>Tabla1[[#This Row],[Merval $]]/F152</f>
        <v>1674.279263112267</v>
      </c>
      <c r="I152" s="63">
        <f t="shared" si="10"/>
        <v>-3.2251065855645002E-2</v>
      </c>
      <c r="J152" s="63">
        <f t="shared" si="10"/>
        <v>4.6443496235233439E-3</v>
      </c>
      <c r="K152" s="64">
        <f>VLOOKUP(Tabla1[[#This Row],[Fecha]],[1]Base!$N$5:$O$263,2,FALSE)</f>
        <v>933</v>
      </c>
    </row>
    <row r="153" spans="1:11">
      <c r="A153" s="174">
        <v>45600</v>
      </c>
      <c r="B153">
        <v>56.5</v>
      </c>
      <c r="C153" s="60">
        <f>VLOOKUP(Tabla1[[#This Row],[Fecha]],[1]Base!$K$5:$L$249,2,FALSE)</f>
        <v>1919066</v>
      </c>
      <c r="D153" s="56">
        <f t="shared" si="8"/>
        <v>3.0550444198425453E-2</v>
      </c>
      <c r="E153" s="56">
        <f t="shared" si="8"/>
        <v>2.0631393099886521E-2</v>
      </c>
      <c r="F153">
        <f>VLOOKUP(A153,[1]Base!$A$5:$B$265, 2, FALSE)</f>
        <v>1151.54</v>
      </c>
      <c r="G153" s="61">
        <f t="shared" si="9"/>
        <v>4.9064730708442611E-2</v>
      </c>
      <c r="H153" s="62">
        <f>Tabla1[[#This Row],[Merval $]]/F153</f>
        <v>1666.5213540128871</v>
      </c>
      <c r="I153" s="63">
        <f t="shared" si="10"/>
        <v>2.5876216574263079E-2</v>
      </c>
      <c r="J153" s="63">
        <f t="shared" si="10"/>
        <v>1.5957165475724077E-2</v>
      </c>
      <c r="K153" s="64">
        <f>VLOOKUP(Tabla1[[#This Row],[Fecha]],[1]Base!$N$5:$O$263,2,FALSE)</f>
        <v>955</v>
      </c>
    </row>
    <row r="154" spans="1:11">
      <c r="A154" s="174">
        <v>45597</v>
      </c>
      <c r="B154">
        <v>54.8</v>
      </c>
      <c r="C154" s="60">
        <f>VLOOKUP(Tabla1[[#This Row],[Fecha]],[1]Base!$K$5:$L$249,2,FALSE)</f>
        <v>1879878.63</v>
      </c>
      <c r="D154" s="56">
        <f t="shared" si="8"/>
        <v>5.2446475372542524E-2</v>
      </c>
      <c r="E154" s="56">
        <f t="shared" si="8"/>
        <v>1.6700591418794323E-2</v>
      </c>
      <c r="F154">
        <f>VLOOKUP(A154,[1]Base!$A$5:$B$265, 2, FALSE)</f>
        <v>1146.17</v>
      </c>
      <c r="G154" s="61">
        <f t="shared" si="9"/>
        <v>4.7811406684872222E-2</v>
      </c>
      <c r="H154" s="62">
        <f>Tabla1[[#This Row],[Merval $]]/F154</f>
        <v>1640.1394470279276</v>
      </c>
      <c r="I154" s="63">
        <f t="shared" si="10"/>
        <v>3.9529360185256816E-2</v>
      </c>
      <c r="J154" s="63">
        <f t="shared" si="10"/>
        <v>3.7834762315087098E-3</v>
      </c>
      <c r="K154" s="64">
        <f>VLOOKUP(Tabla1[[#This Row],[Fecha]],[1]Base!$N$5:$O$263,2,FALSE)</f>
        <v>955</v>
      </c>
    </row>
    <row r="155" spans="1:11">
      <c r="A155" s="174">
        <v>45596</v>
      </c>
      <c r="B155">
        <v>52</v>
      </c>
      <c r="C155" s="60">
        <f>VLOOKUP(Tabla1[[#This Row],[Fecha]],[1]Base!$K$5:$L$249,2,FALSE)</f>
        <v>1848744.25</v>
      </c>
      <c r="D155" s="56">
        <f t="shared" si="8"/>
        <v>-7.6628727455691371E-3</v>
      </c>
      <c r="E155" s="56">
        <f t="shared" si="8"/>
        <v>6.0814892341149018E-3</v>
      </c>
      <c r="F155">
        <f>VLOOKUP(A155,[1]Base!$A$5:$B$265, 2, FALSE)</f>
        <v>1131.46</v>
      </c>
      <c r="G155" s="61">
        <f t="shared" si="9"/>
        <v>4.5958319339614299E-2</v>
      </c>
      <c r="H155" s="62">
        <f>Tabla1[[#This Row],[Merval $]]/F155</f>
        <v>1633.9457426687643</v>
      </c>
      <c r="I155" s="63">
        <f t="shared" si="10"/>
        <v>-1.618215653274035E-3</v>
      </c>
      <c r="J155" s="63">
        <f t="shared" si="10"/>
        <v>1.2126146326410235E-2</v>
      </c>
      <c r="K155" s="64">
        <f>VLOOKUP(Tabla1[[#This Row],[Fecha]],[1]Base!$N$5:$O$263,2,FALSE)</f>
        <v>984</v>
      </c>
    </row>
    <row r="156" spans="1:11">
      <c r="A156" s="174">
        <v>45595</v>
      </c>
      <c r="B156">
        <v>52.4</v>
      </c>
      <c r="C156" s="60">
        <f>VLOOKUP(Tabla1[[#This Row],[Fecha]],[1]Base!$K$5:$L$249,2,FALSE)</f>
        <v>1837535.25</v>
      </c>
      <c r="D156" s="56">
        <f t="shared" si="8"/>
        <v>3.8240964384032546E-3</v>
      </c>
      <c r="E156" s="56">
        <f t="shared" si="8"/>
        <v>-4.4005588536576426E-3</v>
      </c>
      <c r="F156">
        <f>VLOOKUP(A156,[1]Base!$A$5:$B$265, 2, FALSE)</f>
        <v>1138.32</v>
      </c>
      <c r="G156" s="61">
        <f t="shared" si="9"/>
        <v>4.6032750017569755E-2</v>
      </c>
      <c r="H156" s="62">
        <f>Tabla1[[#This Row],[Merval $]]/F156</f>
        <v>1614.2519238878349</v>
      </c>
      <c r="I156" s="63">
        <f t="shared" si="10"/>
        <v>3.7011006113211843E-3</v>
      </c>
      <c r="J156" s="63">
        <f t="shared" si="10"/>
        <v>-4.52355468073981E-3</v>
      </c>
      <c r="K156" s="64">
        <f>VLOOKUP(Tabla1[[#This Row],[Fecha]],[1]Base!$N$5:$O$263,2,FALSE)</f>
        <v>956</v>
      </c>
    </row>
    <row r="157" spans="1:11">
      <c r="A157" s="174">
        <v>45594</v>
      </c>
      <c r="B157">
        <v>52.2</v>
      </c>
      <c r="C157" s="60">
        <f>VLOOKUP(Tabla1[[#This Row],[Fecha]],[1]Base!$K$5:$L$249,2,FALSE)</f>
        <v>1845639.25</v>
      </c>
      <c r="D157" s="56">
        <f t="shared" si="8"/>
        <v>9.6247133742096928E-3</v>
      </c>
      <c r="E157" s="56">
        <f t="shared" si="8"/>
        <v>-3.3938694172366631E-3</v>
      </c>
      <c r="F157">
        <f>VLOOKUP(A157,[1]Base!$A$5:$B$265, 2, FALSE)</f>
        <v>1138.18</v>
      </c>
      <c r="G157" s="61">
        <f t="shared" si="9"/>
        <v>4.5862693071394685E-2</v>
      </c>
      <c r="H157" s="62">
        <f>Tabla1[[#This Row],[Merval $]]/F157</f>
        <v>1621.5706215185646</v>
      </c>
      <c r="I157" s="63">
        <f t="shared" si="10"/>
        <v>6.104140813984903E-3</v>
      </c>
      <c r="J157" s="63">
        <f t="shared" si="10"/>
        <v>-6.9144419774614854E-3</v>
      </c>
      <c r="K157" s="64">
        <f>VLOOKUP(Tabla1[[#This Row],[Fecha]],[1]Base!$N$5:$O$263,2,FALSE)</f>
        <v>933</v>
      </c>
    </row>
    <row r="158" spans="1:11">
      <c r="A158" s="174">
        <v>45593</v>
      </c>
      <c r="B158">
        <v>51.7</v>
      </c>
      <c r="C158" s="60">
        <f>VLOOKUP(Tabla1[[#This Row],[Fecha]],[1]Base!$K$5:$L$249,2,FALSE)</f>
        <v>1851913.75</v>
      </c>
      <c r="D158" s="56">
        <f t="shared" si="8"/>
        <v>-7.7071672449377784E-3</v>
      </c>
      <c r="E158" s="56">
        <f t="shared" si="8"/>
        <v>-1.1206866332836083E-2</v>
      </c>
      <c r="F158">
        <f>VLOOKUP(A158,[1]Base!$A$5:$B$265, 2, FALSE)</f>
        <v>1134.18</v>
      </c>
      <c r="G158" s="61">
        <f t="shared" si="9"/>
        <v>4.5583593433141126E-2</v>
      </c>
      <c r="H158" s="62">
        <f>Tabla1[[#This Row],[Merval $]]/F158</f>
        <v>1632.821730236823</v>
      </c>
      <c r="I158" s="63">
        <f t="shared" si="10"/>
        <v>-1.0023675020161115E-3</v>
      </c>
      <c r="J158" s="63">
        <f t="shared" si="10"/>
        <v>-4.5020665899145936E-3</v>
      </c>
      <c r="K158" s="64">
        <f>VLOOKUP(Tabla1[[#This Row],[Fecha]],[1]Base!$N$5:$O$263,2,FALSE)</f>
        <v>914</v>
      </c>
    </row>
    <row r="159" spans="1:11">
      <c r="A159" s="174">
        <v>45590</v>
      </c>
      <c r="B159">
        <v>52.1</v>
      </c>
      <c r="C159" s="60">
        <f>VLOOKUP(Tabla1[[#This Row],[Fecha]],[1]Base!$K$5:$L$249,2,FALSE)</f>
        <v>1872784.63</v>
      </c>
      <c r="D159" s="56">
        <f t="shared" si="8"/>
        <v>1.9380451549662593E-2</v>
      </c>
      <c r="E159" s="56">
        <f t="shared" si="8"/>
        <v>1.2243628949681338E-2</v>
      </c>
      <c r="F159">
        <f>VLOOKUP(A159,[1]Base!$A$5:$B$265, 2, FALSE)</f>
        <v>1141.81</v>
      </c>
      <c r="G159" s="61">
        <f t="shared" si="9"/>
        <v>4.562930785332061E-2</v>
      </c>
      <c r="H159" s="62">
        <f>Tabla1[[#This Row],[Merval $]]/F159</f>
        <v>1640.1893747646282</v>
      </c>
      <c r="I159" s="63">
        <f t="shared" si="10"/>
        <v>3.5185734057022418E-2</v>
      </c>
      <c r="J159" s="63">
        <f t="shared" si="10"/>
        <v>2.8048911457041172E-2</v>
      </c>
      <c r="K159" s="64">
        <f>VLOOKUP(Tabla1[[#This Row],[Fecha]],[1]Base!$N$5:$O$263,2,FALSE)</f>
        <v>967</v>
      </c>
    </row>
    <row r="160" spans="1:11">
      <c r="A160" s="174">
        <v>45589</v>
      </c>
      <c r="B160">
        <v>51.1</v>
      </c>
      <c r="C160" s="60">
        <f>VLOOKUP(Tabla1[[#This Row],[Fecha]],[1]Base!$K$5:$L$249,2,FALSE)</f>
        <v>1849994.75</v>
      </c>
      <c r="D160" s="56">
        <f t="shared" si="8"/>
        <v>7.8585866125213105E-3</v>
      </c>
      <c r="E160" s="56">
        <f t="shared" si="8"/>
        <v>4.1766322440636536E-2</v>
      </c>
      <c r="F160">
        <f>VLOOKUP(A160,[1]Base!$A$5:$B$265, 2, FALSE)</f>
        <v>1160</v>
      </c>
      <c r="G160" s="61">
        <f t="shared" si="9"/>
        <v>4.4051724137931035E-2</v>
      </c>
      <c r="H160" s="62">
        <f>Tabla1[[#This Row],[Merval $]]/F160</f>
        <v>1594.8230603448276</v>
      </c>
      <c r="I160" s="63">
        <f t="shared" si="10"/>
        <v>9.5726340349576323E-3</v>
      </c>
      <c r="J160" s="63">
        <f t="shared" si="10"/>
        <v>4.3480369863072584E-2</v>
      </c>
      <c r="K160" s="64">
        <f>VLOOKUP(Tabla1[[#This Row],[Fecha]],[1]Base!$N$5:$O$263,2,FALSE)</f>
        <v>1036</v>
      </c>
    </row>
    <row r="161" spans="1:11">
      <c r="A161" s="174">
        <v>45588</v>
      </c>
      <c r="B161">
        <v>50.7</v>
      </c>
      <c r="C161" s="60">
        <f>VLOOKUP(Tabla1[[#This Row],[Fecha]],[1]Base!$K$5:$L$249,2,FALSE)</f>
        <v>1774318.63</v>
      </c>
      <c r="D161" s="56">
        <f t="shared" si="8"/>
        <v>-3.1070460473739573E-2</v>
      </c>
      <c r="E161" s="56">
        <f t="shared" si="8"/>
        <v>-1.8549911083353243E-2</v>
      </c>
      <c r="F161">
        <f>VLOOKUP(A161,[1]Base!$A$5:$B$265, 2, FALSE)</f>
        <v>1161.99</v>
      </c>
      <c r="G161" s="61">
        <f t="shared" si="9"/>
        <v>4.3632045026205046E-2</v>
      </c>
      <c r="H161" s="62">
        <f>Tabla1[[#This Row],[Merval $]]/F161</f>
        <v>1526.9654902365769</v>
      </c>
      <c r="I161" s="63">
        <f t="shared" si="10"/>
        <v>-3.1087672473946646E-2</v>
      </c>
      <c r="J161" s="63">
        <f t="shared" si="10"/>
        <v>-1.8567123083560184E-2</v>
      </c>
      <c r="K161" s="64">
        <f>VLOOKUP(Tabla1[[#This Row],[Fecha]],[1]Base!$N$5:$O$263,2,FALSE)</f>
        <v>1103</v>
      </c>
    </row>
    <row r="162" spans="1:11">
      <c r="A162" s="174">
        <v>45587</v>
      </c>
      <c r="B162">
        <v>52.3</v>
      </c>
      <c r="C162" s="60">
        <f>VLOOKUP(Tabla1[[#This Row],[Fecha]],[1]Base!$K$5:$L$249,2,FALSE)</f>
        <v>1807539.25</v>
      </c>
      <c r="D162" s="56">
        <f t="shared" si="8"/>
        <v>-3.8167985267008537E-3</v>
      </c>
      <c r="E162" s="56">
        <f t="shared" si="8"/>
        <v>-7.257607539783782E-3</v>
      </c>
      <c r="F162">
        <f>VLOOKUP(A162,[1]Base!$A$5:$B$265, 2, FALSE)</f>
        <v>1161.97</v>
      </c>
      <c r="G162" s="61">
        <f t="shared" si="9"/>
        <v>4.5009767894179709E-2</v>
      </c>
      <c r="H162" s="62">
        <f>Tabla1[[#This Row],[Merval $]]/F162</f>
        <v>1555.5816845529575</v>
      </c>
      <c r="I162" s="63">
        <f t="shared" si="10"/>
        <v>1.282187575438183E-3</v>
      </c>
      <c r="J162" s="63">
        <f t="shared" si="10"/>
        <v>-2.1586214376445446E-3</v>
      </c>
      <c r="K162" s="64">
        <f>VLOOKUP(Tabla1[[#This Row],[Fecha]],[1]Base!$N$5:$O$263,2,FALSE)</f>
        <v>1099</v>
      </c>
    </row>
    <row r="163" spans="1:11">
      <c r="A163" s="174">
        <v>45586</v>
      </c>
      <c r="B163">
        <v>52.5</v>
      </c>
      <c r="C163" s="60">
        <f>VLOOKUP(Tabla1[[#This Row],[Fecha]],[1]Base!$K$5:$L$249,2,FALSE)</f>
        <v>1820705.38</v>
      </c>
      <c r="D163" s="56">
        <f t="shared" si="8"/>
        <v>-9.47874395454377E-3</v>
      </c>
      <c r="E163" s="56">
        <f t="shared" si="8"/>
        <v>-1.4403650678972517E-3</v>
      </c>
      <c r="F163">
        <f>VLOOKUP(A163,[1]Base!$A$5:$B$265, 2, FALSE)</f>
        <v>1167.9100000000001</v>
      </c>
      <c r="G163" s="61">
        <f t="shared" si="9"/>
        <v>4.4952093911345907E-2</v>
      </c>
      <c r="H163" s="62">
        <f>Tabla1[[#This Row],[Merval $]]/F163</f>
        <v>1558.9432233648138</v>
      </c>
      <c r="I163" s="63">
        <f t="shared" si="10"/>
        <v>-1.7093866531619838E-2</v>
      </c>
      <c r="J163" s="63">
        <f t="shared" si="10"/>
        <v>-9.0554876449734905E-3</v>
      </c>
      <c r="K163" s="64">
        <f>VLOOKUP(Tabla1[[#This Row],[Fecha]],[1]Base!$N$5:$O$263,2,FALSE)</f>
        <v>1100</v>
      </c>
    </row>
    <row r="164" spans="1:11">
      <c r="A164" s="174">
        <v>45583</v>
      </c>
      <c r="B164">
        <v>53</v>
      </c>
      <c r="C164" s="60">
        <f>VLOOKUP(Tabla1[[#This Row],[Fecha]],[1]Base!$K$5:$L$249,2,FALSE)</f>
        <v>1823329.75</v>
      </c>
      <c r="D164" s="56">
        <f t="shared" si="8"/>
        <v>0</v>
      </c>
      <c r="E164" s="56">
        <f t="shared" si="8"/>
        <v>1.1987049896643955E-2</v>
      </c>
      <c r="F164">
        <f>VLOOKUP(A164,[1]Base!$A$5:$B$265, 2, FALSE)</f>
        <v>1159.05</v>
      </c>
      <c r="G164" s="61">
        <f t="shared" si="9"/>
        <v>4.5727104093869979E-2</v>
      </c>
      <c r="H164" s="62">
        <f>Tabla1[[#This Row],[Merval $]]/F164</f>
        <v>1573.1243259566024</v>
      </c>
      <c r="I164" s="63">
        <f t="shared" si="10"/>
        <v>4.7441399979782133E-4</v>
      </c>
      <c r="J164" s="63">
        <f t="shared" si="10"/>
        <v>1.2461463896441838E-2</v>
      </c>
      <c r="K164" s="64">
        <f>VLOOKUP(Tabla1[[#This Row],[Fecha]],[1]Base!$N$5:$O$263,2,FALSE)</f>
        <v>1097</v>
      </c>
    </row>
    <row r="165" spans="1:11">
      <c r="A165" s="174">
        <v>45582</v>
      </c>
      <c r="B165">
        <v>53</v>
      </c>
      <c r="C165" s="60">
        <f>VLOOKUP(Tabla1[[#This Row],[Fecha]],[1]Base!$K$5:$L$249,2,FALSE)</f>
        <v>1801603.88</v>
      </c>
      <c r="D165" s="56">
        <f t="shared" si="8"/>
        <v>1.1385322225125429E-2</v>
      </c>
      <c r="E165" s="56">
        <f t="shared" si="8"/>
        <v>1.4279603297038901E-2</v>
      </c>
      <c r="F165">
        <f>VLOOKUP(A165,[1]Base!$A$5:$B$265, 2, FALSE)</f>
        <v>1159.5999999999999</v>
      </c>
      <c r="G165" s="61">
        <f t="shared" si="9"/>
        <v>4.5705415660572617E-2</v>
      </c>
      <c r="H165" s="62">
        <f>Tabla1[[#This Row],[Merval $]]/F165</f>
        <v>1553.6425319075543</v>
      </c>
      <c r="I165" s="63">
        <f t="shared" si="10"/>
        <v>1.1635377195408724E-2</v>
      </c>
      <c r="J165" s="63">
        <f t="shared" si="10"/>
        <v>1.4529658267322105E-2</v>
      </c>
      <c r="K165" s="64">
        <f>VLOOKUP(Tabla1[[#This Row],[Fecha]],[1]Base!$N$5:$O$263,2,FALSE)</f>
        <v>1099</v>
      </c>
    </row>
    <row r="166" spans="1:11">
      <c r="A166" s="174">
        <v>45581</v>
      </c>
      <c r="B166">
        <v>52.4</v>
      </c>
      <c r="C166" s="60">
        <f>VLOOKUP(Tabla1[[#This Row],[Fecha]],[1]Base!$K$5:$L$249,2,FALSE)</f>
        <v>1776060.5</v>
      </c>
      <c r="D166" s="56">
        <f t="shared" si="8"/>
        <v>-2.077506257496441E-2</v>
      </c>
      <c r="E166" s="56">
        <f t="shared" si="8"/>
        <v>-2.2376501889732062E-2</v>
      </c>
      <c r="F166">
        <f>VLOOKUP(A166,[1]Base!$A$5:$B$265, 2, FALSE)</f>
        <v>1159.8900000000001</v>
      </c>
      <c r="G166" s="61">
        <f t="shared" si="9"/>
        <v>4.5176697790307696E-2</v>
      </c>
      <c r="H166" s="62">
        <f>Tabla1[[#This Row],[Merval $]]/F166</f>
        <v>1531.2318409504348</v>
      </c>
      <c r="I166" s="63">
        <f t="shared" si="10"/>
        <v>-3.815092368913546E-2</v>
      </c>
      <c r="J166" s="63">
        <f t="shared" si="10"/>
        <v>-3.975236300390312E-2</v>
      </c>
      <c r="K166" s="64">
        <f>VLOOKUP(Tabla1[[#This Row],[Fecha]],[1]Base!$N$5:$O$263,2,FALSE)</f>
        <v>1052</v>
      </c>
    </row>
    <row r="167" spans="1:11">
      <c r="A167" s="174">
        <v>45580</v>
      </c>
      <c r="B167">
        <v>53.5</v>
      </c>
      <c r="C167" s="60">
        <f>VLOOKUP(Tabla1[[#This Row],[Fecha]],[1]Base!$K$5:$L$249,2,FALSE)</f>
        <v>1816250.5</v>
      </c>
      <c r="D167" s="56">
        <f t="shared" si="8"/>
        <v>-1.668249995993602E-2</v>
      </c>
      <c r="E167" s="56">
        <f t="shared" si="8"/>
        <v>6.5379767172573577E-3</v>
      </c>
      <c r="F167">
        <f>VLOOKUP(A167,[1]Base!$A$5:$B$265, 2, FALSE)</f>
        <v>1139.9100000000001</v>
      </c>
      <c r="G167" s="61">
        <f t="shared" si="9"/>
        <v>4.6933529840075087E-2</v>
      </c>
      <c r="H167" s="62">
        <f>Tabla1[[#This Row],[Merval $]]/F167</f>
        <v>1593.3279820336693</v>
      </c>
      <c r="I167" s="63">
        <f t="shared" si="10"/>
        <v>-1.3205819530576798E-2</v>
      </c>
      <c r="J167" s="63">
        <f t="shared" si="10"/>
        <v>1.0014657146616661E-2</v>
      </c>
      <c r="K167" s="64">
        <f>VLOOKUP(Tabla1[[#This Row],[Fecha]],[1]Base!$N$5:$O$263,2,FALSE)</f>
        <v>1044</v>
      </c>
    </row>
    <row r="168" spans="1:11">
      <c r="A168" s="174">
        <v>45579</v>
      </c>
      <c r="B168">
        <v>54.4</v>
      </c>
      <c r="C168" s="60">
        <f>VLOOKUP(Tabla1[[#This Row],[Fecha]],[1]Base!$K$5:$L$249,2,FALSE)</f>
        <v>1804414.63</v>
      </c>
      <c r="D168" s="56">
        <f t="shared" si="8"/>
        <v>-1.2785562296971927E-2</v>
      </c>
      <c r="E168" s="56">
        <f t="shared" si="8"/>
        <v>1.1944992081767991E-2</v>
      </c>
      <c r="F168">
        <f>VLOOKUP(A168,[1]Base!$A$5:$B$265, 2, FALSE)</f>
        <v>1143.8800000000001</v>
      </c>
      <c r="G168" s="61">
        <f t="shared" si="9"/>
        <v>4.7557436094695239E-2</v>
      </c>
      <c r="H168" s="62">
        <f>Tabla1[[#This Row],[Merval $]]/F168</f>
        <v>1577.4509826205544</v>
      </c>
      <c r="I168" s="63">
        <f t="shared" si="10"/>
        <v>-2.071988281452285E-2</v>
      </c>
      <c r="J168" s="63">
        <f t="shared" si="10"/>
        <v>4.0106715642171976E-3</v>
      </c>
      <c r="K168" s="64">
        <f>VLOOKUP(Tabla1[[#This Row],[Fecha]],[1]Base!$N$5:$O$263,2,FALSE)</f>
        <v>1106</v>
      </c>
    </row>
    <row r="169" spans="1:11">
      <c r="A169" s="174">
        <v>45575</v>
      </c>
      <c r="B169">
        <v>55.1</v>
      </c>
      <c r="C169" s="60">
        <f>VLOOKUP(Tabla1[[#This Row],[Fecha]],[1]Base!$K$5:$L$249,2,FALSE)</f>
        <v>1782989.13</v>
      </c>
      <c r="D169" s="56">
        <f t="shared" si="8"/>
        <v>1.0949014489670523E-2</v>
      </c>
      <c r="E169" s="56">
        <f t="shared" si="8"/>
        <v>6.2203424003451557E-3</v>
      </c>
      <c r="F169">
        <f>VLOOKUP(A169,[1]Base!$A$5:$B$265, 2, FALSE)</f>
        <v>1134.8399999999999</v>
      </c>
      <c r="G169" s="61">
        <f t="shared" si="9"/>
        <v>4.855309999647528E-2</v>
      </c>
      <c r="H169" s="62">
        <f>Tabla1[[#This Row],[Merval $]]/F169</f>
        <v>1571.1370149095908</v>
      </c>
      <c r="I169" s="63">
        <f t="shared" si="10"/>
        <v>2.1955855842020221E-2</v>
      </c>
      <c r="J169" s="63">
        <f t="shared" si="10"/>
        <v>1.7227183752694927E-2</v>
      </c>
      <c r="K169" s="64">
        <f>VLOOKUP(Tabla1[[#This Row],[Fecha]],[1]Base!$N$5:$O$263,2,FALSE)</f>
        <v>1126</v>
      </c>
    </row>
    <row r="170" spans="1:11">
      <c r="A170" s="174">
        <v>45574</v>
      </c>
      <c r="B170">
        <v>54.5</v>
      </c>
      <c r="C170" s="60">
        <f>VLOOKUP(Tabla1[[#This Row],[Fecha]],[1]Base!$K$5:$L$249,2,FALSE)</f>
        <v>1771932.75</v>
      </c>
      <c r="D170" s="56">
        <f t="shared" si="8"/>
        <v>0</v>
      </c>
      <c r="E170" s="56">
        <f t="shared" si="8"/>
        <v>2.3158111068243115E-2</v>
      </c>
      <c r="F170">
        <f>VLOOKUP(A170,[1]Base!$A$5:$B$265, 2, FALSE)</f>
        <v>1147.4000000000001</v>
      </c>
      <c r="G170" s="61">
        <f t="shared" si="9"/>
        <v>4.7498692696531286E-2</v>
      </c>
      <c r="H170" s="62">
        <f>Tabla1[[#This Row],[Merval $]]/F170</f>
        <v>1544.302553599442</v>
      </c>
      <c r="I170" s="63">
        <f t="shared" si="10"/>
        <v>1.9111995922271179E-2</v>
      </c>
      <c r="J170" s="63">
        <f t="shared" si="10"/>
        <v>4.2270106990513902E-2</v>
      </c>
      <c r="K170" s="64">
        <f>VLOOKUP(Tabla1[[#This Row],[Fecha]],[1]Base!$N$5:$O$263,2,FALSE)</f>
        <v>1121</v>
      </c>
    </row>
    <row r="171" spans="1:11">
      <c r="A171" s="174">
        <v>45573</v>
      </c>
      <c r="B171">
        <v>54.5</v>
      </c>
      <c r="C171" s="60">
        <f>VLOOKUP(Tabla1[[#This Row],[Fecha]],[1]Base!$K$5:$L$249,2,FALSE)</f>
        <v>1731369.63</v>
      </c>
      <c r="D171" s="56">
        <f t="shared" si="8"/>
        <v>-1.8331810816609605E-3</v>
      </c>
      <c r="E171" s="56">
        <f t="shared" si="8"/>
        <v>9.7366868238072234E-3</v>
      </c>
      <c r="F171">
        <f>VLOOKUP(A171,[1]Base!$A$5:$B$265, 2, FALSE)</f>
        <v>1169.54</v>
      </c>
      <c r="G171" s="61">
        <f t="shared" si="9"/>
        <v>4.6599517759118969E-2</v>
      </c>
      <c r="H171" s="62">
        <f>Tabla1[[#This Row],[Merval $]]/F171</f>
        <v>1480.3851343263163</v>
      </c>
      <c r="I171" s="63">
        <f t="shared" si="10"/>
        <v>1.0513966146255547E-2</v>
      </c>
      <c r="J171" s="63">
        <f t="shared" si="10"/>
        <v>2.2083834051723955E-2</v>
      </c>
      <c r="K171" s="64">
        <f>VLOOKUP(Tabla1[[#This Row],[Fecha]],[1]Base!$N$5:$O$263,2,FALSE)</f>
        <v>1188</v>
      </c>
    </row>
    <row r="172" spans="1:11">
      <c r="A172" s="174">
        <v>45572</v>
      </c>
      <c r="B172">
        <v>54.6</v>
      </c>
      <c r="C172" s="60">
        <f>VLOOKUP(Tabla1[[#This Row],[Fecha]],[1]Base!$K$5:$L$249,2,FALSE)</f>
        <v>1714593.63</v>
      </c>
      <c r="D172" s="56">
        <f t="shared" si="8"/>
        <v>-1.0929070532190317E-2</v>
      </c>
      <c r="E172" s="56">
        <f t="shared" si="8"/>
        <v>-2.4155345638938317E-2</v>
      </c>
      <c r="F172">
        <f>VLOOKUP(A172,[1]Base!$A$5:$B$265, 2, FALSE)</f>
        <v>1184.07</v>
      </c>
      <c r="G172" s="61">
        <f t="shared" si="9"/>
        <v>4.6112138640452001E-2</v>
      </c>
      <c r="H172" s="62">
        <f>Tabla1[[#This Row],[Merval $]]/F172</f>
        <v>1448.0509007068838</v>
      </c>
      <c r="I172" s="63">
        <f t="shared" si="10"/>
        <v>-8.019627977915918E-3</v>
      </c>
      <c r="J172" s="63">
        <f t="shared" si="10"/>
        <v>-2.1245903084664012E-2</v>
      </c>
      <c r="K172" s="64">
        <f>VLOOKUP(Tabla1[[#This Row],[Fecha]],[1]Base!$N$5:$O$263,2,FALSE)</f>
        <v>1207</v>
      </c>
    </row>
    <row r="173" spans="1:11">
      <c r="A173" s="174">
        <v>45569</v>
      </c>
      <c r="B173">
        <v>55.2</v>
      </c>
      <c r="C173" s="60">
        <f>VLOOKUP(Tabla1[[#This Row],[Fecha]],[1]Base!$K$5:$L$249,2,FALSE)</f>
        <v>1756514.5</v>
      </c>
      <c r="D173" s="56">
        <f t="shared" si="8"/>
        <v>9.0992438551140888E-3</v>
      </c>
      <c r="E173" s="56">
        <f t="shared" si="8"/>
        <v>8.6693271427229956E-4</v>
      </c>
      <c r="F173">
        <f>VLOOKUP(A173,[1]Base!$A$5:$B$265, 2, FALSE)</f>
        <v>1187.52</v>
      </c>
      <c r="G173" s="61">
        <f t="shared" si="9"/>
        <v>4.648342764753436E-2</v>
      </c>
      <c r="H173" s="62">
        <f>Tabla1[[#This Row],[Merval $]]/F173</f>
        <v>1479.1451933441122</v>
      </c>
      <c r="I173" s="63">
        <f t="shared" si="10"/>
        <v>1.2646569011004791E-2</v>
      </c>
      <c r="J173" s="63">
        <f t="shared" si="10"/>
        <v>4.4142578701629447E-3</v>
      </c>
      <c r="K173" s="64">
        <f>VLOOKUP(Tabla1[[#This Row],[Fecha]],[1]Base!$N$5:$O$263,2,FALSE)</f>
        <v>1258</v>
      </c>
    </row>
    <row r="174" spans="1:11">
      <c r="A174" s="174">
        <v>45568</v>
      </c>
      <c r="B174">
        <v>54.7</v>
      </c>
      <c r="C174" s="60">
        <f>VLOOKUP(Tabla1[[#This Row],[Fecha]],[1]Base!$K$5:$L$249,2,FALSE)</f>
        <v>1754992.38</v>
      </c>
      <c r="D174" s="56">
        <f t="shared" si="8"/>
        <v>0</v>
      </c>
      <c r="E174" s="56">
        <f t="shared" si="8"/>
        <v>2.2958727337328975E-2</v>
      </c>
      <c r="F174">
        <f>VLOOKUP(A174,[1]Base!$A$5:$B$265, 2, FALSE)</f>
        <v>1191.74</v>
      </c>
      <c r="G174" s="61">
        <f t="shared" si="9"/>
        <v>4.5899273331431352E-2</v>
      </c>
      <c r="H174" s="62">
        <f>Tabla1[[#This Row],[Merval $]]/F174</f>
        <v>1472.6302549213754</v>
      </c>
      <c r="I174" s="63">
        <f t="shared" si="10"/>
        <v>1.3145964037811361E-2</v>
      </c>
      <c r="J174" s="63">
        <f t="shared" si="10"/>
        <v>3.6104691375140323E-2</v>
      </c>
      <c r="K174" s="64">
        <f>VLOOKUP(Tabla1[[#This Row],[Fecha]],[1]Base!$N$5:$O$263,2,FALSE)</f>
        <v>1265</v>
      </c>
    </row>
    <row r="175" spans="1:11">
      <c r="A175" s="174">
        <v>45567</v>
      </c>
      <c r="B175">
        <v>54.7</v>
      </c>
      <c r="C175" s="60">
        <f>VLOOKUP(Tabla1[[#This Row],[Fecha]],[1]Base!$K$5:$L$249,2,FALSE)</f>
        <v>1715159</v>
      </c>
      <c r="D175" s="56">
        <f t="shared" si="8"/>
        <v>-1.0909199100353508E-2</v>
      </c>
      <c r="E175" s="56">
        <f t="shared" si="8"/>
        <v>-7.8992544632479275E-3</v>
      </c>
      <c r="F175">
        <f>VLOOKUP(A175,[1]Base!$A$5:$B$265, 2, FALSE)</f>
        <v>1207.51</v>
      </c>
      <c r="G175" s="61">
        <f t="shared" si="9"/>
        <v>4.5299831885450226E-2</v>
      </c>
      <c r="H175" s="62">
        <f>Tabla1[[#This Row],[Merval $]]/F175</f>
        <v>1420.4097688631978</v>
      </c>
      <c r="I175" s="63">
        <f t="shared" si="10"/>
        <v>-5.6135303580553833E-4</v>
      </c>
      <c r="J175" s="63">
        <f t="shared" si="10"/>
        <v>2.4485916013000514E-3</v>
      </c>
      <c r="K175" s="64">
        <f>VLOOKUP(Tabla1[[#This Row],[Fecha]],[1]Base!$N$5:$O$263,2,FALSE)</f>
        <v>1276</v>
      </c>
    </row>
    <row r="176" spans="1:11">
      <c r="A176" s="174">
        <v>45566</v>
      </c>
      <c r="B176">
        <v>55.3</v>
      </c>
      <c r="C176" s="60">
        <f>VLOOKUP(Tabla1[[#This Row],[Fecha]],[1]Base!$K$5:$L$249,2,FALSE)</f>
        <v>1728761.13</v>
      </c>
      <c r="D176" s="56">
        <f t="shared" si="8"/>
        <v>-1.0791471632764432E-2</v>
      </c>
      <c r="E176" s="56">
        <f t="shared" si="8"/>
        <v>1.8307002444723979E-2</v>
      </c>
      <c r="F176">
        <f>VLOOKUP(A176,[1]Base!$A$5:$B$265, 2, FALSE)</f>
        <v>1220.07</v>
      </c>
      <c r="G176" s="61">
        <f t="shared" si="9"/>
        <v>4.5325268222315113E-2</v>
      </c>
      <c r="H176" s="62">
        <f>Tabla1[[#This Row],[Merval $]]/F176</f>
        <v>1416.9360200644226</v>
      </c>
      <c r="I176" s="63">
        <f t="shared" si="10"/>
        <v>-1.4930937935400027E-2</v>
      </c>
      <c r="J176" s="63">
        <f t="shared" si="10"/>
        <v>1.4167536142088396E-2</v>
      </c>
      <c r="K176" s="64">
        <f>VLOOKUP(Tabla1[[#This Row],[Fecha]],[1]Base!$N$5:$O$263,2,FALSE)</f>
        <v>1288</v>
      </c>
    </row>
    <row r="177" spans="1:11">
      <c r="A177" s="174">
        <v>45565</v>
      </c>
      <c r="B177">
        <v>55.9</v>
      </c>
      <c r="C177" s="60">
        <f>VLOOKUP(Tabla1[[#This Row],[Fecha]],[1]Base!$K$5:$L$249,2,FALSE)</f>
        <v>1697400.63</v>
      </c>
      <c r="D177" s="56">
        <f t="shared" si="8"/>
        <v>-2.9958187540792144E-2</v>
      </c>
      <c r="E177" s="56">
        <f t="shared" si="8"/>
        <v>-1.7737282029655129E-2</v>
      </c>
      <c r="F177">
        <f>VLOOKUP(A177,[1]Base!$A$5:$B$265, 2, FALSE)</f>
        <v>1215.03</v>
      </c>
      <c r="G177" s="61">
        <f t="shared" si="9"/>
        <v>4.6007094475033539E-2</v>
      </c>
      <c r="H177" s="62">
        <f>Tabla1[[#This Row],[Merval $]]/F177</f>
        <v>1397.0030616527986</v>
      </c>
      <c r="I177" s="63">
        <f t="shared" si="10"/>
        <v>-3.5967830934122987E-2</v>
      </c>
      <c r="J177" s="63">
        <f t="shared" si="10"/>
        <v>-2.3746925422986131E-2</v>
      </c>
      <c r="K177" s="64">
        <f>VLOOKUP(Tabla1[[#This Row],[Fecha]],[1]Base!$N$5:$O$263,2,FALSE)</f>
        <v>1290</v>
      </c>
    </row>
    <row r="178" spans="1:11">
      <c r="A178" s="174">
        <v>45562</v>
      </c>
      <c r="B178">
        <v>57.6</v>
      </c>
      <c r="C178" s="60">
        <f>VLOOKUP(Tabla1[[#This Row],[Fecha]],[1]Base!$K$5:$L$249,2,FALSE)</f>
        <v>1727776.5</v>
      </c>
      <c r="D178" s="56">
        <f t="shared" si="8"/>
        <v>1.398624197473987E-2</v>
      </c>
      <c r="E178" s="56">
        <f t="shared" si="8"/>
        <v>7.0312796555277229E-3</v>
      </c>
      <c r="F178">
        <f>VLOOKUP(A178,[1]Base!$A$5:$B$265, 2, FALSE)</f>
        <v>1207.75</v>
      </c>
      <c r="G178" s="61">
        <f t="shared" si="9"/>
        <v>4.7691989236182987E-2</v>
      </c>
      <c r="H178" s="62">
        <f>Tabla1[[#This Row],[Merval $]]/F178</f>
        <v>1430.5746222314222</v>
      </c>
      <c r="I178" s="63">
        <f t="shared" si="10"/>
        <v>1.66322930493581E-2</v>
      </c>
      <c r="J178" s="63">
        <f t="shared" si="10"/>
        <v>9.677330730145841E-3</v>
      </c>
      <c r="K178" s="64">
        <f>VLOOKUP(Tabla1[[#This Row],[Fecha]],[1]Base!$N$5:$O$263,2,FALSE)</f>
        <v>1311</v>
      </c>
    </row>
    <row r="179" spans="1:11">
      <c r="A179" s="174">
        <v>45561</v>
      </c>
      <c r="B179">
        <v>56.8</v>
      </c>
      <c r="C179" s="60">
        <f>VLOOKUP(Tabla1[[#This Row],[Fecha]],[1]Base!$K$5:$L$249,2,FALSE)</f>
        <v>1715670.63</v>
      </c>
      <c r="D179" s="56">
        <f t="shared" si="8"/>
        <v>3.0386609568236696E-2</v>
      </c>
      <c r="E179" s="56">
        <f t="shared" si="8"/>
        <v>-1.6452538599184257E-2</v>
      </c>
      <c r="F179">
        <f>VLOOKUP(A179,[1]Base!$A$5:$B$265, 2, FALSE)</f>
        <v>1210.95</v>
      </c>
      <c r="G179" s="61">
        <f t="shared" si="9"/>
        <v>4.6905322267641103E-2</v>
      </c>
      <c r="H179" s="62">
        <f>Tabla1[[#This Row],[Merval $]]/F179</f>
        <v>1416.7972500929022</v>
      </c>
      <c r="I179" s="63">
        <f t="shared" si="10"/>
        <v>2.9428224868691618E-2</v>
      </c>
      <c r="J179" s="63">
        <f t="shared" si="10"/>
        <v>-1.7410923298729404E-2</v>
      </c>
      <c r="K179" s="64">
        <f>VLOOKUP(Tabla1[[#This Row],[Fecha]],[1]Base!$N$5:$O$263,2,FALSE)</f>
        <v>1302</v>
      </c>
    </row>
    <row r="180" spans="1:11">
      <c r="A180" s="174">
        <v>45560</v>
      </c>
      <c r="B180">
        <v>55.1</v>
      </c>
      <c r="C180" s="60">
        <f>VLOOKUP(Tabla1[[#This Row],[Fecha]],[1]Base!$K$5:$L$249,2,FALSE)</f>
        <v>1744131.25</v>
      </c>
      <c r="D180" s="56">
        <f t="shared" si="8"/>
        <v>1.8165309263980069E-3</v>
      </c>
      <c r="E180" s="56">
        <f t="shared" si="8"/>
        <v>-1.7356714878423003E-2</v>
      </c>
      <c r="F180">
        <f>VLOOKUP(A180,[1]Base!$A$5:$B$265, 2, FALSE)</f>
        <v>1209.79</v>
      </c>
      <c r="G180" s="61">
        <f t="shared" si="9"/>
        <v>4.5545094603195599E-2</v>
      </c>
      <c r="H180" s="62">
        <f>Tabla1[[#This Row],[Merval $]]/F180</f>
        <v>1441.6809942221378</v>
      </c>
      <c r="I180" s="63">
        <f t="shared" si="10"/>
        <v>-4.5352765579576172E-3</v>
      </c>
      <c r="J180" s="63">
        <f t="shared" si="10"/>
        <v>-2.3708522362778484E-2</v>
      </c>
      <c r="K180" s="64">
        <f>VLOOKUP(Tabla1[[#This Row],[Fecha]],[1]Base!$N$5:$O$263,2,FALSE)</f>
        <v>1304</v>
      </c>
    </row>
    <row r="181" spans="1:11">
      <c r="A181" s="174">
        <v>45559</v>
      </c>
      <c r="B181">
        <v>55</v>
      </c>
      <c r="C181" s="60">
        <f>VLOOKUP(Tabla1[[#This Row],[Fecha]],[1]Base!$K$5:$L$249,2,FALSE)</f>
        <v>1774667.88</v>
      </c>
      <c r="D181" s="56">
        <f t="shared" si="8"/>
        <v>2.2059718064732257E-2</v>
      </c>
      <c r="E181" s="56">
        <f t="shared" si="8"/>
        <v>-8.729763098377679E-3</v>
      </c>
      <c r="F181">
        <f>VLOOKUP(A181,[1]Base!$A$5:$B$265, 2, FALSE)</f>
        <v>1202.1300000000001</v>
      </c>
      <c r="G181" s="61">
        <f t="shared" si="9"/>
        <v>4.575212331445018E-2</v>
      </c>
      <c r="H181" s="62">
        <f>Tabla1[[#This Row],[Merval $]]/F181</f>
        <v>1476.2695215991612</v>
      </c>
      <c r="I181" s="63">
        <f t="shared" si="10"/>
        <v>2.4087391506371476E-2</v>
      </c>
      <c r="J181" s="63">
        <f t="shared" si="10"/>
        <v>-6.7020896567384757E-3</v>
      </c>
      <c r="K181" s="64">
        <f>VLOOKUP(Tabla1[[#This Row],[Fecha]],[1]Base!$N$5:$O$263,2,FALSE)</f>
        <v>1303</v>
      </c>
    </row>
    <row r="182" spans="1:11">
      <c r="A182" s="174">
        <v>45558</v>
      </c>
      <c r="B182">
        <v>53.8</v>
      </c>
      <c r="C182" s="60">
        <f>VLOOKUP(Tabla1[[#This Row],[Fecha]],[1]Base!$K$5:$L$249,2,FALSE)</f>
        <v>1790228.13</v>
      </c>
      <c r="D182" s="56">
        <f t="shared" si="8"/>
        <v>-1.6590242260196921E-2</v>
      </c>
      <c r="E182" s="56">
        <f t="shared" si="8"/>
        <v>-1.8101078061835574E-2</v>
      </c>
      <c r="F182">
        <f>VLOOKUP(A182,[1]Base!$A$5:$B$265, 2, FALSE)</f>
        <v>1204.57</v>
      </c>
      <c r="G182" s="61">
        <f t="shared" si="9"/>
        <v>4.4663240824526593E-2</v>
      </c>
      <c r="H182" s="62">
        <f>Tabla1[[#This Row],[Merval $]]/F182</f>
        <v>1486.1968420266153</v>
      </c>
      <c r="I182" s="63">
        <f t="shared" si="10"/>
        <v>-2.0308012389673908E-2</v>
      </c>
      <c r="J182" s="63">
        <f t="shared" si="10"/>
        <v>-2.18188481913127E-2</v>
      </c>
      <c r="K182" s="64">
        <f>VLOOKUP(Tabla1[[#This Row],[Fecha]],[1]Base!$N$5:$O$263,2,FALSE)</f>
        <v>1308</v>
      </c>
    </row>
    <row r="183" spans="1:11">
      <c r="A183" s="174">
        <v>45555</v>
      </c>
      <c r="B183">
        <v>54.7</v>
      </c>
      <c r="C183" s="60">
        <f>VLOOKUP(Tabla1[[#This Row],[Fecha]],[1]Base!$K$5:$L$249,2,FALSE)</f>
        <v>1822928.25</v>
      </c>
      <c r="D183" s="56">
        <f t="shared" si="8"/>
        <v>-1.2715884325302561E-2</v>
      </c>
      <c r="E183" s="56">
        <f t="shared" si="8"/>
        <v>-1.3147329647960556E-2</v>
      </c>
      <c r="F183">
        <f>VLOOKUP(A183,[1]Base!$A$5:$B$265, 2, FALSE)</f>
        <v>1200.0999999999999</v>
      </c>
      <c r="G183" s="61">
        <f t="shared" si="9"/>
        <v>4.5579535038746774E-2</v>
      </c>
      <c r="H183" s="62">
        <f>Tabla1[[#This Row],[Merval $]]/F183</f>
        <v>1518.9802933088911</v>
      </c>
      <c r="I183" s="63">
        <f t="shared" si="10"/>
        <v>-1.4684323222004908E-2</v>
      </c>
      <c r="J183" s="63">
        <f t="shared" si="10"/>
        <v>-1.5115768544662849E-2</v>
      </c>
      <c r="K183" s="64">
        <f>VLOOKUP(Tabla1[[#This Row],[Fecha]],[1]Base!$N$5:$O$263,2,FALSE)</f>
        <v>1319</v>
      </c>
    </row>
    <row r="184" spans="1:11">
      <c r="A184" s="174">
        <v>45554</v>
      </c>
      <c r="B184">
        <v>55.4</v>
      </c>
      <c r="C184" s="60">
        <f>VLOOKUP(Tabla1[[#This Row],[Fecha]],[1]Base!$K$5:$L$249,2,FALSE)</f>
        <v>1847053.13</v>
      </c>
      <c r="D184" s="56">
        <f t="shared" si="8"/>
        <v>1.6378892084039681E-2</v>
      </c>
      <c r="E184" s="56">
        <f t="shared" si="8"/>
        <v>1.7451520797452411E-2</v>
      </c>
      <c r="F184">
        <f>VLOOKUP(A184,[1]Base!$A$5:$B$265, 2, FALSE)</f>
        <v>1197.74</v>
      </c>
      <c r="G184" s="61">
        <f t="shared" si="9"/>
        <v>4.6253777948469618E-2</v>
      </c>
      <c r="H184" s="62">
        <f>Tabla1[[#This Row],[Merval $]]/F184</f>
        <v>1542.1152587372885</v>
      </c>
      <c r="I184" s="63">
        <f t="shared" si="10"/>
        <v>2.3848379413338845E-2</v>
      </c>
      <c r="J184" s="63">
        <f t="shared" si="10"/>
        <v>2.4921008126751527E-2</v>
      </c>
      <c r="K184" s="64">
        <f>VLOOKUP(Tabla1[[#This Row],[Fecha]],[1]Base!$N$5:$O$263,2,FALSE)</f>
        <v>1301</v>
      </c>
    </row>
    <row r="185" spans="1:11">
      <c r="A185" s="174">
        <v>45553</v>
      </c>
      <c r="B185">
        <v>54.5</v>
      </c>
      <c r="C185" s="60">
        <f>VLOOKUP(Tabla1[[#This Row],[Fecha]],[1]Base!$K$5:$L$249,2,FALSE)</f>
        <v>1815098.88</v>
      </c>
      <c r="D185" s="56">
        <f t="shared" si="8"/>
        <v>-7.3126468462864904E-3</v>
      </c>
      <c r="E185" s="56">
        <f t="shared" si="8"/>
        <v>9.9265885592851578E-4</v>
      </c>
      <c r="F185">
        <f>VLOOKUP(A185,[1]Base!$A$5:$B$265, 2, FALSE)</f>
        <v>1206.72</v>
      </c>
      <c r="G185" s="61">
        <f t="shared" si="9"/>
        <v>4.5163749668522934E-2</v>
      </c>
      <c r="H185" s="62">
        <f>Tabla1[[#This Row],[Merval $]]/F185</f>
        <v>1504.1591089896579</v>
      </c>
      <c r="I185" s="63">
        <f t="shared" si="10"/>
        <v>-1.2649409104796535E-3</v>
      </c>
      <c r="J185" s="63">
        <f t="shared" si="10"/>
        <v>7.0403647917355438E-3</v>
      </c>
      <c r="K185" s="64">
        <f>VLOOKUP(Tabla1[[#This Row],[Fecha]],[1]Base!$N$5:$O$263,2,FALSE)</f>
        <v>1363</v>
      </c>
    </row>
    <row r="186" spans="1:11">
      <c r="A186" s="174">
        <v>45552</v>
      </c>
      <c r="B186">
        <v>54.9</v>
      </c>
      <c r="C186" s="60">
        <f>VLOOKUP(Tabla1[[#This Row],[Fecha]],[1]Base!$K$5:$L$249,2,FALSE)</f>
        <v>1813298</v>
      </c>
      <c r="D186" s="56">
        <f t="shared" si="8"/>
        <v>-1.2669852741051778E-2</v>
      </c>
      <c r="E186" s="56">
        <f t="shared" si="8"/>
        <v>2.3474903678106238E-4</v>
      </c>
      <c r="F186">
        <f>VLOOKUP(A186,[1]Base!$A$5:$B$265, 2, FALSE)</f>
        <v>1214.04</v>
      </c>
      <c r="G186" s="61">
        <f t="shared" si="9"/>
        <v>4.5220915291094198E-2</v>
      </c>
      <c r="H186" s="62">
        <f>Tabla1[[#This Row],[Merval $]]/F186</f>
        <v>1493.606470956476</v>
      </c>
      <c r="I186" s="63">
        <f t="shared" si="10"/>
        <v>-1.1286999893264744E-2</v>
      </c>
      <c r="J186" s="63">
        <f t="shared" si="10"/>
        <v>1.6176018845681522E-3</v>
      </c>
      <c r="K186" s="64">
        <f>VLOOKUP(Tabla1[[#This Row],[Fecha]],[1]Base!$N$5:$O$263,2,FALSE)</f>
        <v>1370</v>
      </c>
    </row>
    <row r="187" spans="1:11">
      <c r="A187" s="174">
        <v>45551</v>
      </c>
      <c r="B187">
        <v>55.6</v>
      </c>
      <c r="C187" s="60">
        <f>VLOOKUP(Tabla1[[#This Row],[Fecha]],[1]Base!$K$5:$L$249,2,FALSE)</f>
        <v>1812872.38</v>
      </c>
      <c r="D187" s="56">
        <f t="shared" si="8"/>
        <v>-2.3112139875748491E-2</v>
      </c>
      <c r="E187" s="56">
        <f t="shared" si="8"/>
        <v>-2.6781327397920789E-3</v>
      </c>
      <c r="F187">
        <f>VLOOKUP(A187,[1]Base!$A$5:$B$265, 2, FALSE)</f>
        <v>1215.72</v>
      </c>
      <c r="G187" s="61">
        <f t="shared" si="9"/>
        <v>4.5734215115322607E-2</v>
      </c>
      <c r="H187" s="62">
        <f>Tabla1[[#This Row],[Merval $]]/F187</f>
        <v>1491.1923633731451</v>
      </c>
      <c r="I187" s="63">
        <f t="shared" si="10"/>
        <v>-1.425958948484036E-2</v>
      </c>
      <c r="J187" s="63">
        <f t="shared" si="10"/>
        <v>6.174417651116146E-3</v>
      </c>
      <c r="K187" s="64">
        <f>VLOOKUP(Tabla1[[#This Row],[Fecha]],[1]Base!$N$5:$O$263,2,FALSE)</f>
        <v>1365</v>
      </c>
    </row>
    <row r="188" spans="1:11">
      <c r="A188" s="174">
        <v>45548</v>
      </c>
      <c r="B188">
        <v>56.9</v>
      </c>
      <c r="C188" s="60">
        <f>VLOOKUP(Tabla1[[#This Row],[Fecha]],[1]Base!$K$5:$L$249,2,FALSE)</f>
        <v>1817734</v>
      </c>
      <c r="D188" s="56">
        <f t="shared" si="8"/>
        <v>8.8261826282721185E-3</v>
      </c>
      <c r="E188" s="56">
        <f t="shared" si="8"/>
        <v>1.5342576233092174E-2</v>
      </c>
      <c r="F188">
        <f>VLOOKUP(A188,[1]Base!$A$5:$B$265, 2, FALSE)</f>
        <v>1226.53</v>
      </c>
      <c r="G188" s="61">
        <f t="shared" si="9"/>
        <v>4.6391038131965788E-2</v>
      </c>
      <c r="H188" s="62">
        <f>Tabla1[[#This Row],[Merval $]]/F188</f>
        <v>1482.0134851980793</v>
      </c>
      <c r="I188" s="63">
        <f t="shared" si="10"/>
        <v>1.9329075190319837E-2</v>
      </c>
      <c r="J188" s="63">
        <f t="shared" si="10"/>
        <v>2.5845468795140221E-2</v>
      </c>
      <c r="K188" s="64">
        <f>VLOOKUP(Tabla1[[#This Row],[Fecha]],[1]Base!$N$5:$O$263,2,FALSE)</f>
        <v>1400</v>
      </c>
    </row>
    <row r="189" spans="1:11">
      <c r="A189" s="174">
        <v>45547</v>
      </c>
      <c r="B189">
        <v>56.4</v>
      </c>
      <c r="C189" s="60">
        <f>VLOOKUP(Tabla1[[#This Row],[Fecha]],[1]Base!$K$5:$L$249,2,FALSE)</f>
        <v>1790058.13</v>
      </c>
      <c r="D189" s="56">
        <f t="shared" si="8"/>
        <v>5.3333459753626029E-3</v>
      </c>
      <c r="E189" s="56">
        <f t="shared" si="8"/>
        <v>1.4591293449240495E-2</v>
      </c>
      <c r="F189">
        <f>VLOOKUP(A189,[1]Base!$A$5:$B$265, 2, FALSE)</f>
        <v>1239.48</v>
      </c>
      <c r="G189" s="61">
        <f t="shared" si="9"/>
        <v>4.5502952851195662E-2</v>
      </c>
      <c r="H189" s="62">
        <f>Tabla1[[#This Row],[Merval $]]/F189</f>
        <v>1444.2008987639977</v>
      </c>
      <c r="I189" s="63">
        <f t="shared" si="10"/>
        <v>-2.2143486237423144E-3</v>
      </c>
      <c r="J189" s="63">
        <f t="shared" si="10"/>
        <v>7.0435988501355035E-3</v>
      </c>
      <c r="K189" s="64">
        <f>VLOOKUP(Tabla1[[#This Row],[Fecha]],[1]Base!$N$5:$O$263,2,FALSE)</f>
        <v>1422</v>
      </c>
    </row>
    <row r="190" spans="1:11">
      <c r="A190" s="174">
        <v>45546</v>
      </c>
      <c r="B190">
        <v>56.1</v>
      </c>
      <c r="C190" s="60">
        <f>VLOOKUP(Tabla1[[#This Row],[Fecha]],[1]Base!$K$5:$L$249,2,FALSE)</f>
        <v>1764128.5</v>
      </c>
      <c r="D190" s="56">
        <f t="shared" si="8"/>
        <v>6.4419692784986521E-2</v>
      </c>
      <c r="E190" s="56">
        <f t="shared" si="8"/>
        <v>2.8135924179478019E-2</v>
      </c>
      <c r="F190">
        <f>VLOOKUP(A190,[1]Base!$A$5:$B$265, 2, FALSE)</f>
        <v>1230.1600000000001</v>
      </c>
      <c r="G190" s="61">
        <f t="shared" si="9"/>
        <v>4.5603823892826946E-2</v>
      </c>
      <c r="H190" s="62">
        <f>Tabla1[[#This Row],[Merval $]]/F190</f>
        <v>1434.0642680626909</v>
      </c>
      <c r="I190" s="63">
        <f t="shared" si="10"/>
        <v>6.464727955342367E-2</v>
      </c>
      <c r="J190" s="63">
        <f t="shared" si="10"/>
        <v>2.836351094791548E-2</v>
      </c>
      <c r="K190" s="64">
        <f>VLOOKUP(Tabla1[[#This Row],[Fecha]],[1]Base!$N$5:$O$263,2,FALSE)</f>
        <v>1445</v>
      </c>
    </row>
    <row r="191" spans="1:11">
      <c r="A191" s="174">
        <v>45545</v>
      </c>
      <c r="B191">
        <v>52.6</v>
      </c>
      <c r="C191" s="60">
        <f>VLOOKUP(Tabla1[[#This Row],[Fecha]],[1]Base!$K$5:$L$249,2,FALSE)</f>
        <v>1715184.88</v>
      </c>
      <c r="D191" s="56">
        <f t="shared" si="8"/>
        <v>-2.441435817128727E-2</v>
      </c>
      <c r="E191" s="56">
        <f t="shared" si="8"/>
        <v>-1.353386326923703E-2</v>
      </c>
      <c r="F191">
        <f>VLOOKUP(A191,[1]Base!$A$5:$B$265, 2, FALSE)</f>
        <v>1230.44</v>
      </c>
      <c r="G191" s="61">
        <f t="shared" si="9"/>
        <v>4.2748935340203506E-2</v>
      </c>
      <c r="H191" s="62">
        <f>Tabla1[[#This Row],[Merval $]]/F191</f>
        <v>1393.9605994603555</v>
      </c>
      <c r="I191" s="63">
        <f t="shared" si="10"/>
        <v>-2.7686830829509724E-2</v>
      </c>
      <c r="J191" s="63">
        <f t="shared" si="10"/>
        <v>-1.6806335927459486E-2</v>
      </c>
      <c r="K191" s="64">
        <f>VLOOKUP(Tabla1[[#This Row],[Fecha]],[1]Base!$N$5:$O$263,2,FALSE)</f>
        <v>1445</v>
      </c>
    </row>
    <row r="192" spans="1:11">
      <c r="A192" s="174">
        <v>45544</v>
      </c>
      <c r="B192">
        <v>53.9</v>
      </c>
      <c r="C192" s="60">
        <f>VLOOKUP(Tabla1[[#This Row],[Fecha]],[1]Base!$K$5:$L$249,2,FALSE)</f>
        <v>1738555.75</v>
      </c>
      <c r="D192" s="56">
        <f t="shared" si="8"/>
        <v>0</v>
      </c>
      <c r="E192" s="56">
        <f t="shared" si="8"/>
        <v>9.7611514796592073E-3</v>
      </c>
      <c r="F192">
        <f>VLOOKUP(A192,[1]Base!$A$5:$B$265, 2, FALSE)</f>
        <v>1226.42</v>
      </c>
      <c r="G192" s="61">
        <f t="shared" si="9"/>
        <v>4.3949054973010875E-2</v>
      </c>
      <c r="H192" s="62">
        <f>Tabla1[[#This Row],[Merval $]]/F192</f>
        <v>1417.5859411946967</v>
      </c>
      <c r="I192" s="63">
        <f t="shared" si="10"/>
        <v>1.4128130913081753E-2</v>
      </c>
      <c r="J192" s="63">
        <f t="shared" si="10"/>
        <v>2.3889282392740987E-2</v>
      </c>
      <c r="K192" s="64">
        <f>VLOOKUP(Tabla1[[#This Row],[Fecha]],[1]Base!$N$5:$O$263,2,FALSE)</f>
        <v>1442</v>
      </c>
    </row>
    <row r="193" spans="1:11">
      <c r="A193" s="174">
        <v>45541</v>
      </c>
      <c r="B193">
        <v>53.9</v>
      </c>
      <c r="C193" s="60">
        <f>VLOOKUP(Tabla1[[#This Row],[Fecha]],[1]Base!$K$5:$L$249,2,FALSE)</f>
        <v>1721668</v>
      </c>
      <c r="D193" s="56">
        <f t="shared" si="8"/>
        <v>-2.9252542837437397E-2</v>
      </c>
      <c r="E193" s="56">
        <f t="shared" si="8"/>
        <v>-2.5120523430888903E-2</v>
      </c>
      <c r="F193">
        <f>VLOOKUP(A193,[1]Base!$A$5:$B$265, 2, FALSE)</f>
        <v>1243.8699999999999</v>
      </c>
      <c r="G193" s="61">
        <f t="shared" si="9"/>
        <v>4.3332502592714678E-2</v>
      </c>
      <c r="H193" s="62">
        <f>Tabla1[[#This Row],[Merval $]]/F193</f>
        <v>1384.1221349497939</v>
      </c>
      <c r="I193" s="63">
        <f t="shared" si="10"/>
        <v>-1.7305255856693E-2</v>
      </c>
      <c r="J193" s="63">
        <f t="shared" si="10"/>
        <v>-1.3173236450144697E-2</v>
      </c>
      <c r="K193" s="64">
        <f>VLOOKUP(Tabla1[[#This Row],[Fecha]],[1]Base!$N$5:$O$263,2,FALSE)</f>
        <v>1483</v>
      </c>
    </row>
    <row r="194" spans="1:11">
      <c r="A194" s="174">
        <v>45540</v>
      </c>
      <c r="B194">
        <v>55.5</v>
      </c>
      <c r="C194" s="60">
        <f>VLOOKUP(Tabla1[[#This Row],[Fecha]],[1]Base!$K$5:$L$249,2,FALSE)</f>
        <v>1765465</v>
      </c>
      <c r="D194" s="56">
        <f t="shared" si="8"/>
        <v>-1.8001805041478545E-3</v>
      </c>
      <c r="E194" s="56">
        <f t="shared" si="8"/>
        <v>-1.7660048736817986E-2</v>
      </c>
      <c r="F194">
        <f>VLOOKUP(A194,[1]Base!$A$5:$B$265, 2, FALSE)</f>
        <v>1258.82</v>
      </c>
      <c r="G194" s="61">
        <f t="shared" si="9"/>
        <v>4.4088908660491574E-2</v>
      </c>
      <c r="H194" s="62">
        <f>Tabla1[[#This Row],[Merval $]]/F194</f>
        <v>1402.4761284377435</v>
      </c>
      <c r="I194" s="63">
        <f t="shared" si="10"/>
        <v>1.4760115384885236E-2</v>
      </c>
      <c r="J194" s="63">
        <f t="shared" si="10"/>
        <v>-1.0997528477847838E-3</v>
      </c>
      <c r="K194" s="64">
        <f>VLOOKUP(Tabla1[[#This Row],[Fecha]],[1]Base!$N$5:$O$263,2,FALSE)</f>
        <v>1452</v>
      </c>
    </row>
    <row r="195" spans="1:11">
      <c r="A195" s="174">
        <v>45539</v>
      </c>
      <c r="B195">
        <v>55.6</v>
      </c>
      <c r="C195" s="60">
        <f>VLOOKUP(Tabla1[[#This Row],[Fecha]],[1]Base!$K$5:$L$249,2,FALSE)</f>
        <v>1796920.13</v>
      </c>
      <c r="D195" s="56">
        <f t="shared" si="8"/>
        <v>1.0850016024065844E-2</v>
      </c>
      <c r="E195" s="56">
        <f t="shared" si="8"/>
        <v>3.4920936420693056E-2</v>
      </c>
      <c r="F195">
        <f>VLOOKUP(A195,[1]Base!$A$5:$B$265, 2, FALSE)</f>
        <v>1279.8399999999999</v>
      </c>
      <c r="G195" s="61">
        <f t="shared" si="9"/>
        <v>4.344293036629579E-2</v>
      </c>
      <c r="H195" s="62">
        <f>Tabla1[[#This Row],[Merval $]]/F195</f>
        <v>1404.0193539817478</v>
      </c>
      <c r="I195" s="63">
        <f t="shared" si="10"/>
        <v>2.2208565676357733E-2</v>
      </c>
      <c r="J195" s="63">
        <f t="shared" si="10"/>
        <v>4.6279486072985328E-2</v>
      </c>
      <c r="K195" s="64">
        <f>VLOOKUP(Tabla1[[#This Row],[Fecha]],[1]Base!$N$5:$O$263,2,FALSE)</f>
        <v>1465</v>
      </c>
    </row>
    <row r="196" spans="1:11">
      <c r="A196" s="174">
        <v>45538</v>
      </c>
      <c r="B196">
        <v>55</v>
      </c>
      <c r="C196" s="60">
        <f>VLOOKUP(Tabla1[[#This Row],[Fecha]],[1]Base!$K$5:$L$249,2,FALSE)</f>
        <v>1735253</v>
      </c>
      <c r="D196" s="56">
        <f t="shared" si="8"/>
        <v>-3.0441025501235522E-2</v>
      </c>
      <c r="E196" s="56">
        <f t="shared" si="8"/>
        <v>-1.1220403218834147E-2</v>
      </c>
      <c r="F196">
        <f>VLOOKUP(A196,[1]Base!$A$5:$B$265, 2, FALSE)</f>
        <v>1294.46</v>
      </c>
      <c r="G196" s="61">
        <f t="shared" si="9"/>
        <v>4.2488759791727823E-2</v>
      </c>
      <c r="H196" s="62">
        <f>Tabla1[[#This Row],[Merval $]]/F196</f>
        <v>1340.5226889977287</v>
      </c>
      <c r="I196" s="63">
        <f t="shared" si="10"/>
        <v>-3.7768144853832182E-2</v>
      </c>
      <c r="J196" s="63">
        <f t="shared" si="10"/>
        <v>-1.8547522571430712E-2</v>
      </c>
      <c r="K196" s="64">
        <f>VLOOKUP(Tabla1[[#This Row],[Fecha]],[1]Base!$N$5:$O$263,2,FALSE)</f>
        <v>1467</v>
      </c>
    </row>
    <row r="197" spans="1:11">
      <c r="A197" s="174">
        <v>45537</v>
      </c>
      <c r="B197">
        <v>56.7</v>
      </c>
      <c r="C197" s="60">
        <f>VLOOKUP(Tabla1[[#This Row],[Fecha]],[1]Base!$K$5:$L$249,2,FALSE)</f>
        <v>1754832.88</v>
      </c>
      <c r="D197" s="56">
        <f t="shared" si="8"/>
        <v>-3.5211303985788248E-3</v>
      </c>
      <c r="E197" s="56">
        <f t="shared" si="8"/>
        <v>2.1466328318044712E-2</v>
      </c>
      <c r="F197">
        <f>VLOOKUP(A197,[1]Base!$A$5:$B$265, 2, FALSE)</f>
        <v>1285.01</v>
      </c>
      <c r="G197" s="61">
        <f t="shared" si="9"/>
        <v>4.4124170239920317E-2</v>
      </c>
      <c r="H197" s="62">
        <f>Tabla1[[#This Row],[Merval $]]/F197</f>
        <v>1365.6180730111048</v>
      </c>
      <c r="I197" s="63">
        <f t="shared" si="10"/>
        <v>-7.4588033734143341E-3</v>
      </c>
      <c r="J197" s="63">
        <f t="shared" si="10"/>
        <v>1.7528655343209108E-2</v>
      </c>
      <c r="K197" s="64">
        <f>VLOOKUP(Tabla1[[#This Row],[Fecha]],[1]Base!$N$5:$O$263,2,FALSE)</f>
        <v>1433</v>
      </c>
    </row>
    <row r="198" spans="1:11">
      <c r="A198" s="174">
        <v>45534</v>
      </c>
      <c r="B198">
        <v>56.9</v>
      </c>
      <c r="C198" s="60">
        <f>VLOOKUP(Tabla1[[#This Row],[Fecha]],[1]Base!$K$5:$L$249,2,FALSE)</f>
        <v>1717564.5</v>
      </c>
      <c r="D198" s="56">
        <f t="shared" si="8"/>
        <v>2.1315194199046716E-2</v>
      </c>
      <c r="E198" s="56">
        <f t="shared" si="8"/>
        <v>3.4002953400263179E-2</v>
      </c>
      <c r="F198">
        <f>VLOOKUP(A198,[1]Base!$A$5:$B$265, 2, FALSE)</f>
        <v>1279.96</v>
      </c>
      <c r="G198" s="61">
        <f t="shared" si="9"/>
        <v>4.4454514203568857E-2</v>
      </c>
      <c r="H198" s="62">
        <f>Tabla1[[#This Row],[Merval $]]/F198</f>
        <v>1341.8891996624893</v>
      </c>
      <c r="I198" s="63">
        <f t="shared" si="10"/>
        <v>1.4549963343247934E-2</v>
      </c>
      <c r="J198" s="63">
        <f t="shared" si="10"/>
        <v>2.7237722544464136E-2</v>
      </c>
      <c r="K198" s="64">
        <f>VLOOKUP(Tabla1[[#This Row],[Fecha]],[1]Base!$N$5:$O$263,2,FALSE)</f>
        <v>1433</v>
      </c>
    </row>
    <row r="199" spans="1:11">
      <c r="A199" s="174">
        <v>45533</v>
      </c>
      <c r="B199">
        <v>55.7</v>
      </c>
      <c r="C199" s="60">
        <f>VLOOKUP(Tabla1[[#This Row],[Fecha]],[1]Base!$K$5:$L$249,2,FALSE)</f>
        <v>1660144</v>
      </c>
      <c r="D199" s="56">
        <f t="shared" si="8"/>
        <v>2.3615993071341421E-2</v>
      </c>
      <c r="E199" s="56">
        <f t="shared" si="8"/>
        <v>2.5995161174181224E-2</v>
      </c>
      <c r="F199">
        <f>VLOOKUP(A199,[1]Base!$A$5:$B$265, 2, FALSE)</f>
        <v>1271.33</v>
      </c>
      <c r="G199" s="61">
        <f t="shared" si="9"/>
        <v>4.3812385454602663E-2</v>
      </c>
      <c r="H199" s="62">
        <f>Tabla1[[#This Row],[Merval $]]/F199</f>
        <v>1305.8324746525293</v>
      </c>
      <c r="I199" s="63">
        <f t="shared" si="10"/>
        <v>3.2121949929207819E-2</v>
      </c>
      <c r="J199" s="63">
        <f t="shared" si="10"/>
        <v>3.4501118032047466E-2</v>
      </c>
      <c r="K199" s="64">
        <f>VLOOKUP(Tabla1[[#This Row],[Fecha]],[1]Base!$N$5:$O$263,2,FALSE)</f>
        <v>1444</v>
      </c>
    </row>
    <row r="200" spans="1:11">
      <c r="A200" s="174">
        <v>45532</v>
      </c>
      <c r="B200">
        <v>54.4</v>
      </c>
      <c r="C200" s="60">
        <f>VLOOKUP(Tabla1[[#This Row],[Fecha]],[1]Base!$K$5:$L$249,2,FALSE)</f>
        <v>1617544.38</v>
      </c>
      <c r="D200" s="56">
        <f t="shared" si="8"/>
        <v>5.5299680094609551E-3</v>
      </c>
      <c r="E200" s="56">
        <f t="shared" si="8"/>
        <v>8.7222652780499701E-4</v>
      </c>
      <c r="F200">
        <f>VLOOKUP(A200,[1]Base!$A$5:$B$265, 2, FALSE)</f>
        <v>1282.19</v>
      </c>
      <c r="G200" s="61">
        <f t="shared" si="9"/>
        <v>4.242740935430786E-2</v>
      </c>
      <c r="H200" s="62">
        <f>Tabla1[[#This Row],[Merval $]]/F200</f>
        <v>1261.548116893752</v>
      </c>
      <c r="I200" s="63">
        <f t="shared" si="10"/>
        <v>8.6447744119448038E-3</v>
      </c>
      <c r="J200" s="63">
        <f t="shared" si="10"/>
        <v>3.9870329302887581E-3</v>
      </c>
      <c r="K200" s="64">
        <f>VLOOKUP(Tabla1[[#This Row],[Fecha]],[1]Base!$N$5:$O$263,2,FALSE)</f>
        <v>1484</v>
      </c>
    </row>
    <row r="201" spans="1:11">
      <c r="A201" s="174">
        <v>45531</v>
      </c>
      <c r="B201">
        <v>54.1</v>
      </c>
      <c r="C201" s="60">
        <f>VLOOKUP(Tabla1[[#This Row],[Fecha]],[1]Base!$K$5:$L$249,2,FALSE)</f>
        <v>1616134.13</v>
      </c>
      <c r="D201" s="56">
        <f t="shared" si="8"/>
        <v>-2.1938722675853218E-2</v>
      </c>
      <c r="E201" s="56">
        <f t="shared" si="8"/>
        <v>1.4416357599458982E-2</v>
      </c>
      <c r="F201">
        <f>VLOOKUP(A201,[1]Base!$A$5:$B$265, 2, FALSE)</f>
        <v>1286.19</v>
      </c>
      <c r="G201" s="61">
        <f t="shared" si="9"/>
        <v>4.2062214758317201E-2</v>
      </c>
      <c r="H201" s="62">
        <f>Tabla1[[#This Row],[Merval $]]/F201</f>
        <v>1256.5282967524238</v>
      </c>
      <c r="I201" s="63">
        <f t="shared" si="10"/>
        <v>-2.0338374297442251E-2</v>
      </c>
      <c r="J201" s="63">
        <f t="shared" si="10"/>
        <v>1.6016705977869899E-2</v>
      </c>
      <c r="K201" s="64">
        <f>VLOOKUP(Tabla1[[#This Row],[Fecha]],[1]Base!$N$5:$O$263,2,FALSE)</f>
        <v>1510</v>
      </c>
    </row>
    <row r="202" spans="1:11">
      <c r="A202" s="174">
        <v>45530</v>
      </c>
      <c r="B202">
        <v>55.3</v>
      </c>
      <c r="C202" s="60">
        <f>VLOOKUP(Tabla1[[#This Row],[Fecha]],[1]Base!$K$5:$L$249,2,FALSE)</f>
        <v>1593002.5</v>
      </c>
      <c r="D202" s="56">
        <f t="shared" ref="D202:E254" si="11">LN(B202/B203)</f>
        <v>-5.4102927282476546E-3</v>
      </c>
      <c r="E202" s="56">
        <f t="shared" si="11"/>
        <v>-8.7281875634808905E-3</v>
      </c>
      <c r="F202">
        <f>VLOOKUP(A202,[1]Base!$A$5:$B$265, 2, FALSE)</f>
        <v>1288.25</v>
      </c>
      <c r="G202" s="61">
        <f t="shared" ref="G202:G255" si="12">B202/F202</f>
        <v>4.2926450611294388E-2</v>
      </c>
      <c r="H202" s="62">
        <f>Tabla1[[#This Row],[Merval $]]/F202</f>
        <v>1236.5631670871337</v>
      </c>
      <c r="I202" s="63">
        <f t="shared" si="10"/>
        <v>-9.7277696307761299E-3</v>
      </c>
      <c r="J202" s="63">
        <f t="shared" si="10"/>
        <v>-1.3045664466009481E-2</v>
      </c>
      <c r="K202" s="64">
        <f>VLOOKUP(Tabla1[[#This Row],[Fecha]],[1]Base!$N$5:$O$263,2,FALSE)</f>
        <v>1516</v>
      </c>
    </row>
    <row r="203" spans="1:11">
      <c r="A203" s="174">
        <v>45527</v>
      </c>
      <c r="B203">
        <v>55.6</v>
      </c>
      <c r="C203" s="60">
        <f>VLOOKUP(Tabla1[[#This Row],[Fecha]],[1]Base!$K$5:$L$249,2,FALSE)</f>
        <v>1606967.38</v>
      </c>
      <c r="D203" s="56">
        <f t="shared" si="11"/>
        <v>1.0850016024065844E-2</v>
      </c>
      <c r="E203" s="56">
        <f t="shared" si="11"/>
        <v>1.8558262936177111E-2</v>
      </c>
      <c r="F203">
        <f>VLOOKUP(A203,[1]Base!$A$5:$B$265, 2, FALSE)</f>
        <v>1282.7</v>
      </c>
      <c r="G203" s="61">
        <f t="shared" si="12"/>
        <v>4.3346066890153578E-2</v>
      </c>
      <c r="H203" s="62">
        <f>Tabla1[[#This Row],[Merval $]]/F203</f>
        <v>1252.800639276526</v>
      </c>
      <c r="I203" s="63">
        <f t="shared" ref="I203:J254" si="13">LN(G203/G204)</f>
        <v>1.1263121609594003E-2</v>
      </c>
      <c r="J203" s="63">
        <f t="shared" si="13"/>
        <v>1.8971368521705358E-2</v>
      </c>
      <c r="K203" s="64">
        <f>VLOOKUP(Tabla1[[#This Row],[Fecha]],[1]Base!$N$5:$O$263,2,FALSE)</f>
        <v>1516</v>
      </c>
    </row>
    <row r="204" spans="1:11">
      <c r="A204" s="174">
        <v>45526</v>
      </c>
      <c r="B204">
        <v>55</v>
      </c>
      <c r="C204" s="60">
        <f>VLOOKUP(Tabla1[[#This Row],[Fecha]],[1]Base!$K$5:$L$249,2,FALSE)</f>
        <v>1577419.88</v>
      </c>
      <c r="D204" s="56">
        <f t="shared" si="11"/>
        <v>-1.4440684154794247E-2</v>
      </c>
      <c r="E204" s="56">
        <f t="shared" si="11"/>
        <v>-2.7299373130151343E-2</v>
      </c>
      <c r="F204">
        <f>VLOOKUP(A204,[1]Base!$A$5:$B$265, 2, FALSE)</f>
        <v>1283.23</v>
      </c>
      <c r="G204" s="61">
        <f t="shared" si="12"/>
        <v>4.2860593969904069E-2</v>
      </c>
      <c r="H204" s="62">
        <f>Tabla1[[#This Row],[Merval $]]/F204</f>
        <v>1229.25732721336</v>
      </c>
      <c r="I204" s="63">
        <f t="shared" si="13"/>
        <v>-7.8231328788336031E-3</v>
      </c>
      <c r="J204" s="63">
        <f t="shared" si="13"/>
        <v>-2.068182185419061E-2</v>
      </c>
      <c r="K204" s="64">
        <f>VLOOKUP(Tabla1[[#This Row],[Fecha]],[1]Base!$N$5:$O$263,2,FALSE)</f>
        <v>1560</v>
      </c>
    </row>
    <row r="205" spans="1:11">
      <c r="A205" s="174">
        <v>45525</v>
      </c>
      <c r="B205">
        <v>55.8</v>
      </c>
      <c r="C205" s="60">
        <f>VLOOKUP(Tabla1[[#This Row],[Fecha]],[1]Base!$K$5:$L$249,2,FALSE)</f>
        <v>1621075.63</v>
      </c>
      <c r="D205" s="56">
        <f t="shared" si="11"/>
        <v>-3.0011078416039508E-2</v>
      </c>
      <c r="E205" s="56">
        <f t="shared" si="11"/>
        <v>-2.3290711260419514E-2</v>
      </c>
      <c r="F205">
        <f>VLOOKUP(A205,[1]Base!$A$5:$B$265, 2, FALSE)</f>
        <v>1291.75</v>
      </c>
      <c r="G205" s="61">
        <f t="shared" si="12"/>
        <v>4.3197213083026896E-2</v>
      </c>
      <c r="H205" s="62">
        <f>Tabla1[[#This Row],[Merval $]]/F205</f>
        <v>1254.945329978711</v>
      </c>
      <c r="I205" s="63">
        <f t="shared" si="13"/>
        <v>-3.3058100237987852E-2</v>
      </c>
      <c r="J205" s="63">
        <f t="shared" si="13"/>
        <v>-2.6337733082367816E-2</v>
      </c>
      <c r="K205" s="64">
        <f>VLOOKUP(Tabla1[[#This Row],[Fecha]],[1]Base!$N$5:$O$263,2,FALSE)</f>
        <v>1525</v>
      </c>
    </row>
    <row r="206" spans="1:11">
      <c r="A206" s="174">
        <v>45524</v>
      </c>
      <c r="B206">
        <v>57.5</v>
      </c>
      <c r="C206" s="60">
        <f>VLOOKUP(Tabla1[[#This Row],[Fecha]],[1]Base!$K$5:$L$249,2,FALSE)</f>
        <v>1659274.75</v>
      </c>
      <c r="D206" s="56">
        <f t="shared" si="11"/>
        <v>-2.2356907101276448E-2</v>
      </c>
      <c r="E206" s="56">
        <f t="shared" si="11"/>
        <v>1.3268326528208822E-3</v>
      </c>
      <c r="F206">
        <f>VLOOKUP(A206,[1]Base!$A$5:$B$265, 2, FALSE)</f>
        <v>1287.82</v>
      </c>
      <c r="G206" s="61">
        <f t="shared" si="12"/>
        <v>4.4649096923483095E-2</v>
      </c>
      <c r="H206" s="62">
        <f>Tabla1[[#This Row],[Merval $]]/F206</f>
        <v>1288.4368545293598</v>
      </c>
      <c r="I206" s="63">
        <f t="shared" si="13"/>
        <v>-2.0588038715531342E-2</v>
      </c>
      <c r="J206" s="63">
        <f t="shared" si="13"/>
        <v>3.0957010385660672E-3</v>
      </c>
      <c r="K206" s="64">
        <f>VLOOKUP(Tabla1[[#This Row],[Fecha]],[1]Base!$N$5:$O$263,2,FALSE)</f>
        <v>1493</v>
      </c>
    </row>
    <row r="207" spans="1:11">
      <c r="A207" s="174">
        <v>45523</v>
      </c>
      <c r="B207">
        <v>58.8</v>
      </c>
      <c r="C207" s="60">
        <f>VLOOKUP(Tabla1[[#This Row],[Fecha]],[1]Base!$K$5:$L$249,2,FALSE)</f>
        <v>1657074.63</v>
      </c>
      <c r="D207" s="56">
        <f t="shared" si="11"/>
        <v>-1.1834457647002909E-2</v>
      </c>
      <c r="E207" s="56">
        <f t="shared" si="11"/>
        <v>4.6850077265025341E-3</v>
      </c>
      <c r="F207">
        <f>VLOOKUP(A207,[1]Base!$A$5:$B$265, 2, FALSE)</f>
        <v>1290.0999999999999</v>
      </c>
      <c r="G207" s="61">
        <f t="shared" si="12"/>
        <v>4.557786218122626E-2</v>
      </c>
      <c r="H207" s="62">
        <f>Tabla1[[#This Row],[Merval $]]/F207</f>
        <v>1284.4544066351446</v>
      </c>
      <c r="I207" s="63">
        <f t="shared" si="13"/>
        <v>-7.8118638418835876E-3</v>
      </c>
      <c r="J207" s="63">
        <f t="shared" si="13"/>
        <v>8.7076015316218461E-3</v>
      </c>
      <c r="K207" s="64">
        <f>VLOOKUP(Tabla1[[#This Row],[Fecha]],[1]Base!$N$5:$O$263,2,FALSE)</f>
        <v>1471</v>
      </c>
    </row>
    <row r="208" spans="1:11">
      <c r="A208" s="174">
        <v>45520</v>
      </c>
      <c r="B208">
        <v>59.5</v>
      </c>
      <c r="C208" s="60">
        <f>VLOOKUP(Tabla1[[#This Row],[Fecha]],[1]Base!$K$5:$L$249,2,FALSE)</f>
        <v>1649329.38</v>
      </c>
      <c r="D208" s="56">
        <f t="shared" si="11"/>
        <v>0</v>
      </c>
      <c r="E208" s="56">
        <f t="shared" si="11"/>
        <v>3.3125092512153349E-3</v>
      </c>
      <c r="F208">
        <f>VLOOKUP(A208,[1]Base!$A$5:$B$265, 2, FALSE)</f>
        <v>1295.3</v>
      </c>
      <c r="G208" s="61">
        <f t="shared" si="12"/>
        <v>4.5935304562649583E-2</v>
      </c>
      <c r="H208" s="62">
        <f>Tabla1[[#This Row],[Merval $]]/F208</f>
        <v>1273.3184436037984</v>
      </c>
      <c r="I208" s="63">
        <f t="shared" si="13"/>
        <v>-1.4847580370243439E-2</v>
      </c>
      <c r="J208" s="63">
        <f t="shared" si="13"/>
        <v>-1.153507111902795E-2</v>
      </c>
      <c r="K208" s="64">
        <f>VLOOKUP(Tabla1[[#This Row],[Fecha]],[1]Base!$N$5:$O$263,2,FALSE)</f>
        <v>1471</v>
      </c>
    </row>
    <row r="209" spans="1:11">
      <c r="A209" s="174">
        <v>45519</v>
      </c>
      <c r="B209">
        <v>59.5</v>
      </c>
      <c r="C209" s="60">
        <f>VLOOKUP(Tabla1[[#This Row],[Fecha]],[1]Base!$K$5:$L$249,2,FALSE)</f>
        <v>1643875</v>
      </c>
      <c r="D209" s="56">
        <f t="shared" si="11"/>
        <v>8.4388686458646035E-3</v>
      </c>
      <c r="E209" s="56">
        <f t="shared" si="11"/>
        <v>2.249420461202728E-2</v>
      </c>
      <c r="F209">
        <f>VLOOKUP(A209,[1]Base!$A$5:$B$265, 2, FALSE)</f>
        <v>1276.21</v>
      </c>
      <c r="G209" s="61">
        <f t="shared" si="12"/>
        <v>4.6622421074901464E-2</v>
      </c>
      <c r="H209" s="62">
        <f>Tabla1[[#This Row],[Merval $]]/F209</f>
        <v>1288.0913015882966</v>
      </c>
      <c r="I209" s="63">
        <f t="shared" si="13"/>
        <v>2.6235737922222129E-3</v>
      </c>
      <c r="J209" s="63">
        <f t="shared" si="13"/>
        <v>1.6678909758384815E-2</v>
      </c>
      <c r="K209" s="64">
        <f>VLOOKUP(Tabla1[[#This Row],[Fecha]],[1]Base!$N$5:$O$263,2,FALSE)</f>
        <v>1490</v>
      </c>
    </row>
    <row r="210" spans="1:11">
      <c r="A210" s="174">
        <v>45518</v>
      </c>
      <c r="B210">
        <v>59</v>
      </c>
      <c r="C210" s="60">
        <f>VLOOKUP(Tabla1[[#This Row],[Fecha]],[1]Base!$K$5:$L$249,2,FALSE)</f>
        <v>1607310.13</v>
      </c>
      <c r="D210" s="56">
        <f t="shared" si="11"/>
        <v>-1.8472397635442429E-2</v>
      </c>
      <c r="E210" s="56">
        <f t="shared" si="11"/>
        <v>9.7613877845877644E-3</v>
      </c>
      <c r="F210">
        <f>VLOOKUP(A210,[1]Base!$A$5:$B$265, 2, FALSE)</f>
        <v>1268.81</v>
      </c>
      <c r="G210" s="61">
        <f t="shared" si="12"/>
        <v>4.6500264026922866E-2</v>
      </c>
      <c r="H210" s="62">
        <f>Tabla1[[#This Row],[Merval $]]/F210</f>
        <v>1266.7855155618256</v>
      </c>
      <c r="I210" s="63">
        <f t="shared" si="13"/>
        <v>-1.5576240100136632E-2</v>
      </c>
      <c r="J210" s="63">
        <f t="shared" si="13"/>
        <v>1.2657545319893437E-2</v>
      </c>
      <c r="K210" s="64">
        <f>VLOOKUP(Tabla1[[#This Row],[Fecha]],[1]Base!$N$5:$O$263,2,FALSE)</f>
        <v>1515</v>
      </c>
    </row>
    <row r="211" spans="1:11">
      <c r="A211" s="174">
        <v>45517</v>
      </c>
      <c r="B211">
        <v>60.1</v>
      </c>
      <c r="C211" s="60">
        <f>VLOOKUP(Tabla1[[#This Row],[Fecha]],[1]Base!$K$5:$L$249,2,FALSE)</f>
        <v>1591696.88</v>
      </c>
      <c r="D211" s="56">
        <f t="shared" si="11"/>
        <v>-1.6502024636387759E-2</v>
      </c>
      <c r="E211" s="56">
        <f t="shared" si="11"/>
        <v>1.7554857276541813E-3</v>
      </c>
      <c r="F211">
        <f>VLOOKUP(A211,[1]Base!$A$5:$B$265, 2, FALSE)</f>
        <v>1272.49</v>
      </c>
      <c r="G211" s="61">
        <f t="shared" si="12"/>
        <v>4.7230233636413647E-2</v>
      </c>
      <c r="H211" s="62">
        <f>Tabla1[[#This Row],[Merval $]]/F211</f>
        <v>1250.8521717263004</v>
      </c>
      <c r="I211" s="63">
        <f t="shared" si="13"/>
        <v>-7.2248817090533931E-3</v>
      </c>
      <c r="J211" s="63">
        <f t="shared" si="13"/>
        <v>1.1032628654988715E-2</v>
      </c>
      <c r="K211" s="64">
        <f>VLOOKUP(Tabla1[[#This Row],[Fecha]],[1]Base!$N$5:$O$263,2,FALSE)</f>
        <v>1557</v>
      </c>
    </row>
    <row r="212" spans="1:11">
      <c r="A212" s="174">
        <v>45516</v>
      </c>
      <c r="B212">
        <v>61.1</v>
      </c>
      <c r="C212" s="60">
        <f>VLOOKUP(Tabla1[[#This Row],[Fecha]],[1]Base!$K$5:$L$249,2,FALSE)</f>
        <v>1588905.13</v>
      </c>
      <c r="D212" s="56">
        <f t="shared" si="11"/>
        <v>1.9835361056146115E-2</v>
      </c>
      <c r="E212" s="56">
        <f t="shared" si="11"/>
        <v>3.1582540020159582E-3</v>
      </c>
      <c r="F212">
        <f>VLOOKUP(A212,[1]Base!$A$5:$B$265, 2, FALSE)</f>
        <v>1284.3499999999999</v>
      </c>
      <c r="G212" s="61">
        <f t="shared" si="12"/>
        <v>4.7572702145053922E-2</v>
      </c>
      <c r="H212" s="62">
        <f>Tabla1[[#This Row],[Merval $]]/F212</f>
        <v>1237.1278311986607</v>
      </c>
      <c r="I212" s="63">
        <f t="shared" si="13"/>
        <v>3.0615216240308784E-2</v>
      </c>
      <c r="J212" s="63">
        <f t="shared" si="13"/>
        <v>1.3938109186178669E-2</v>
      </c>
      <c r="K212" s="64">
        <f>VLOOKUP(Tabla1[[#This Row],[Fecha]],[1]Base!$N$5:$O$263,2,FALSE)</f>
        <v>1560</v>
      </c>
    </row>
    <row r="213" spans="1:11">
      <c r="A213" s="174">
        <v>45513</v>
      </c>
      <c r="B213">
        <v>59.9</v>
      </c>
      <c r="C213" s="60">
        <f>VLOOKUP(Tabla1[[#This Row],[Fecha]],[1]Base!$K$5:$L$249,2,FALSE)</f>
        <v>1583894.88</v>
      </c>
      <c r="D213" s="56">
        <f t="shared" si="11"/>
        <v>5.4902294387697274E-2</v>
      </c>
      <c r="E213" s="56">
        <f t="shared" si="11"/>
        <v>3.4380168430226392E-2</v>
      </c>
      <c r="F213">
        <f>VLOOKUP(A213,[1]Base!$A$5:$B$265, 2, FALSE)</f>
        <v>1298.27</v>
      </c>
      <c r="G213" s="61">
        <f t="shared" si="12"/>
        <v>4.6138322536914508E-2</v>
      </c>
      <c r="H213" s="62">
        <f>Tabla1[[#This Row],[Merval $]]/F213</f>
        <v>1220.0042210017946</v>
      </c>
      <c r="I213" s="63">
        <f t="shared" si="13"/>
        <v>6.4240275087598345E-2</v>
      </c>
      <c r="J213" s="63">
        <f t="shared" si="13"/>
        <v>4.3718149130127698E-2</v>
      </c>
      <c r="K213" s="64">
        <f>VLOOKUP(Tabla1[[#This Row],[Fecha]],[1]Base!$N$5:$O$263,2,FALSE)</f>
        <v>1558</v>
      </c>
    </row>
    <row r="214" spans="1:11">
      <c r="A214" s="174">
        <v>45512</v>
      </c>
      <c r="B214">
        <v>56.7</v>
      </c>
      <c r="C214" s="60">
        <f>VLOOKUP(Tabla1[[#This Row],[Fecha]],[1]Base!$K$5:$L$249,2,FALSE)</f>
        <v>1530365.75</v>
      </c>
      <c r="D214" s="56">
        <f t="shared" si="11"/>
        <v>3.4084016779736735E-2</v>
      </c>
      <c r="E214" s="56">
        <f t="shared" si="11"/>
        <v>5.2454139482314706E-2</v>
      </c>
      <c r="F214">
        <f>VLOOKUP(A214,[1]Base!$A$5:$B$265, 2, FALSE)</f>
        <v>1310.45</v>
      </c>
      <c r="G214" s="61">
        <f t="shared" si="12"/>
        <v>4.326757983898661E-2</v>
      </c>
      <c r="H214" s="62">
        <f>Tabla1[[#This Row],[Merval $]]/F214</f>
        <v>1167.8169712694112</v>
      </c>
      <c r="I214" s="63">
        <f t="shared" si="13"/>
        <v>5.0357460978954133E-2</v>
      </c>
      <c r="J214" s="63">
        <f t="shared" si="13"/>
        <v>6.8727583681531784E-2</v>
      </c>
      <c r="K214" s="64">
        <f>VLOOKUP(Tabla1[[#This Row],[Fecha]],[1]Base!$N$5:$O$263,2,FALSE)</f>
        <v>1552</v>
      </c>
    </row>
    <row r="215" spans="1:11">
      <c r="A215" s="174">
        <v>45511</v>
      </c>
      <c r="B215">
        <v>54.8</v>
      </c>
      <c r="C215" s="60">
        <f>VLOOKUP(Tabla1[[#This Row],[Fecha]],[1]Base!$K$5:$L$249,2,FALSE)</f>
        <v>1452160.75</v>
      </c>
      <c r="D215" s="56">
        <f t="shared" si="11"/>
        <v>-1.0889399799268319E-2</v>
      </c>
      <c r="E215" s="56">
        <f t="shared" si="11"/>
        <v>-3.7187319654784171E-3</v>
      </c>
      <c r="F215">
        <f>VLOOKUP(A215,[1]Base!$A$5:$B$265, 2, FALSE)</f>
        <v>1331.95</v>
      </c>
      <c r="G215" s="61">
        <f t="shared" si="12"/>
        <v>4.1142685536243846E-2</v>
      </c>
      <c r="H215" s="62">
        <f>Tabla1[[#This Row],[Merval $]]/F215</f>
        <v>1090.2516986373362</v>
      </c>
      <c r="I215" s="63">
        <f t="shared" si="13"/>
        <v>-7.5540021749128721E-3</v>
      </c>
      <c r="J215" s="63">
        <f t="shared" si="13"/>
        <v>-3.8333434112266488E-4</v>
      </c>
      <c r="K215" s="64">
        <f>VLOOKUP(Tabla1[[#This Row],[Fecha]],[1]Base!$N$5:$O$263,2,FALSE)</f>
        <v>1574</v>
      </c>
    </row>
    <row r="216" spans="1:11">
      <c r="A216" s="174">
        <v>45510</v>
      </c>
      <c r="B216">
        <v>55.4</v>
      </c>
      <c r="C216" s="60">
        <f>VLOOKUP(Tabla1[[#This Row],[Fecha]],[1]Base!$K$5:$L$249,2,FALSE)</f>
        <v>1457571</v>
      </c>
      <c r="D216" s="56">
        <f t="shared" si="11"/>
        <v>5.9497098864644951E-2</v>
      </c>
      <c r="E216" s="56">
        <f t="shared" si="11"/>
        <v>2.5746237943746725E-2</v>
      </c>
      <c r="F216">
        <f>VLOOKUP(A216,[1]Base!$A$5:$B$265, 2, FALSE)</f>
        <v>1336.4</v>
      </c>
      <c r="G216" s="61">
        <f t="shared" si="12"/>
        <v>4.145465429512122E-2</v>
      </c>
      <c r="H216" s="62">
        <f>Tabla1[[#This Row],[Merval $]]/F216</f>
        <v>1090.669709667764</v>
      </c>
      <c r="I216" s="63">
        <f t="shared" si="13"/>
        <v>6.6721761135913299E-2</v>
      </c>
      <c r="J216" s="63">
        <f t="shared" si="13"/>
        <v>3.2970900215014858E-2</v>
      </c>
      <c r="K216" s="64">
        <f>VLOOKUP(Tabla1[[#This Row],[Fecha]],[1]Base!$N$5:$O$263,2,FALSE)</f>
        <v>1625</v>
      </c>
    </row>
    <row r="217" spans="1:11">
      <c r="A217" s="174">
        <v>45509</v>
      </c>
      <c r="B217">
        <v>52.2</v>
      </c>
      <c r="C217" s="60">
        <f>VLOOKUP(Tabla1[[#This Row],[Fecha]],[1]Base!$K$5:$L$249,2,FALSE)</f>
        <v>1420523</v>
      </c>
      <c r="D217" s="56">
        <f t="shared" si="11"/>
        <v>-7.205331764005754E-2</v>
      </c>
      <c r="E217" s="56">
        <f t="shared" si="11"/>
        <v>-8.9891644879223909E-3</v>
      </c>
      <c r="F217">
        <f>VLOOKUP(A217,[1]Base!$A$5:$B$265, 2, FALSE)</f>
        <v>1346.09</v>
      </c>
      <c r="G217" s="61">
        <f t="shared" si="12"/>
        <v>3.8778982088864794E-2</v>
      </c>
      <c r="H217" s="62">
        <f>Tabla1[[#This Row],[Merval $]]/F217</f>
        <v>1055.2957083107372</v>
      </c>
      <c r="I217" s="63">
        <f t="shared" si="13"/>
        <v>-8.1045479360403364E-2</v>
      </c>
      <c r="J217" s="63">
        <f t="shared" si="13"/>
        <v>-1.7981326208268089E-2</v>
      </c>
      <c r="K217" s="64">
        <f>VLOOKUP(Tabla1[[#This Row],[Fecha]],[1]Base!$N$5:$O$263,2,FALSE)</f>
        <v>1653</v>
      </c>
    </row>
    <row r="218" spans="1:11">
      <c r="A218" s="174">
        <v>45506</v>
      </c>
      <c r="B218">
        <v>56.1</v>
      </c>
      <c r="C218" s="60">
        <f>VLOOKUP(Tabla1[[#This Row],[Fecha]],[1]Base!$K$5:$L$249,2,FALSE)</f>
        <v>1433349.88</v>
      </c>
      <c r="D218" s="56">
        <f t="shared" si="11"/>
        <v>-1.5915455305899457E-2</v>
      </c>
      <c r="E218" s="56">
        <f t="shared" si="11"/>
        <v>-4.5595152875624462E-2</v>
      </c>
      <c r="F218">
        <f>VLOOKUP(A218,[1]Base!$A$5:$B$265, 2, FALSE)</f>
        <v>1334.04</v>
      </c>
      <c r="G218" s="61">
        <f t="shared" si="12"/>
        <v>4.2052712062606822E-2</v>
      </c>
      <c r="H218" s="62">
        <f>Tabla1[[#This Row],[Merval $]]/F218</f>
        <v>1074.442955233726</v>
      </c>
      <c r="I218" s="63">
        <f t="shared" si="13"/>
        <v>-4.1655436380503098E-2</v>
      </c>
      <c r="J218" s="63">
        <f t="shared" si="13"/>
        <v>-7.1335133950228252E-2</v>
      </c>
      <c r="K218" s="64">
        <f>VLOOKUP(Tabla1[[#This Row],[Fecha]],[1]Base!$N$5:$O$263,2,FALSE)</f>
        <v>1612</v>
      </c>
    </row>
    <row r="219" spans="1:11">
      <c r="A219" s="174">
        <v>45505</v>
      </c>
      <c r="B219">
        <v>57</v>
      </c>
      <c r="C219" s="60">
        <f>VLOOKUP(Tabla1[[#This Row],[Fecha]],[1]Base!$K$5:$L$249,2,FALSE)</f>
        <v>1500216.5</v>
      </c>
      <c r="D219" s="56">
        <f t="shared" si="11"/>
        <v>-1.7528488274143605E-3</v>
      </c>
      <c r="E219" s="56">
        <f t="shared" si="11"/>
        <v>1.231576194030368E-2</v>
      </c>
      <c r="F219">
        <f>VLOOKUP(A219,[1]Base!$A$5:$B$265, 2, FALSE)</f>
        <v>1300.1400000000001</v>
      </c>
      <c r="G219" s="61">
        <f t="shared" si="12"/>
        <v>4.3841432461119566E-2</v>
      </c>
      <c r="H219" s="62">
        <f>Tabla1[[#This Row],[Merval $]]/F219</f>
        <v>1153.8884274001261</v>
      </c>
      <c r="I219" s="63">
        <f t="shared" si="13"/>
        <v>-7.0045121600341986E-3</v>
      </c>
      <c r="J219" s="63">
        <f t="shared" si="13"/>
        <v>7.0640986076840476E-3</v>
      </c>
      <c r="K219" s="64">
        <f>VLOOKUP(Tabla1[[#This Row],[Fecha]],[1]Base!$N$5:$O$263,2,FALSE)</f>
        <v>1550</v>
      </c>
    </row>
    <row r="220" spans="1:11">
      <c r="A220" s="174">
        <v>45504</v>
      </c>
      <c r="B220">
        <v>57.1</v>
      </c>
      <c r="C220" s="60">
        <f>VLOOKUP(Tabla1[[#This Row],[Fecha]],[1]Base!$K$5:$L$249,2,FALSE)</f>
        <v>1481853.5</v>
      </c>
      <c r="D220" s="56">
        <f t="shared" si="11"/>
        <v>5.9530649494225936E-2</v>
      </c>
      <c r="E220" s="56">
        <f t="shared" si="11"/>
        <v>4.8319547557330506E-2</v>
      </c>
      <c r="F220">
        <f>VLOOKUP(A220,[1]Base!$A$5:$B$265, 2, FALSE)</f>
        <v>1293.33</v>
      </c>
      <c r="G220" s="61">
        <f t="shared" si="12"/>
        <v>4.4149598323707025E-2</v>
      </c>
      <c r="H220" s="62">
        <f>Tabla1[[#This Row],[Merval $]]/F220</f>
        <v>1145.7659684689909</v>
      </c>
      <c r="I220" s="63">
        <f t="shared" si="13"/>
        <v>3.9711784910971756E-2</v>
      </c>
      <c r="J220" s="63">
        <f t="shared" si="13"/>
        <v>2.8500682974076576E-2</v>
      </c>
      <c r="K220" s="64">
        <f>VLOOKUP(Tabla1[[#This Row],[Fecha]],[1]Base!$N$5:$O$263,2,FALSE)</f>
        <v>1507</v>
      </c>
    </row>
    <row r="221" spans="1:11">
      <c r="A221" s="174">
        <v>45503</v>
      </c>
      <c r="B221">
        <v>53.8</v>
      </c>
      <c r="C221" s="60">
        <f>VLOOKUP(Tabla1[[#This Row],[Fecha]],[1]Base!$K$5:$L$249,2,FALSE)</f>
        <v>1411953.38</v>
      </c>
      <c r="D221" s="56">
        <f t="shared" si="11"/>
        <v>-3.650040221952653E-2</v>
      </c>
      <c r="E221" s="56">
        <f t="shared" si="11"/>
        <v>-4.7906465959405065E-2</v>
      </c>
      <c r="F221">
        <f>VLOOKUP(A221,[1]Base!$A$5:$B$265, 2, FALSE)</f>
        <v>1267.95</v>
      </c>
      <c r="G221" s="61">
        <f t="shared" si="12"/>
        <v>4.2430695216688352E-2</v>
      </c>
      <c r="H221" s="62">
        <f>Tabla1[[#This Row],[Merval $]]/F221</f>
        <v>1113.5718127686421</v>
      </c>
      <c r="I221" s="63">
        <f t="shared" si="13"/>
        <v>-1.4179509225724436E-2</v>
      </c>
      <c r="J221" s="63">
        <f t="shared" si="13"/>
        <v>-2.5585572965603029E-2</v>
      </c>
      <c r="K221" s="64">
        <f>VLOOKUP(Tabla1[[#This Row],[Fecha]],[1]Base!$N$5:$O$263,2,FALSE)</f>
        <v>1556</v>
      </c>
    </row>
    <row r="222" spans="1:11">
      <c r="A222" s="174">
        <v>45502</v>
      </c>
      <c r="B222">
        <v>55.8</v>
      </c>
      <c r="C222" s="60">
        <f>VLOOKUP(Tabla1[[#This Row],[Fecha]],[1]Base!$K$5:$L$249,2,FALSE)</f>
        <v>1481241.5</v>
      </c>
      <c r="D222" s="56">
        <f t="shared" si="11"/>
        <v>-5.7457055024787318E-2</v>
      </c>
      <c r="E222" s="56">
        <f t="shared" si="11"/>
        <v>-4.0213792611812994E-2</v>
      </c>
      <c r="F222">
        <f>VLOOKUP(A222,[1]Base!$A$5:$B$265, 2, FALSE)</f>
        <v>1296.57</v>
      </c>
      <c r="G222" s="61">
        <f t="shared" si="12"/>
        <v>4.3036627409241308E-2</v>
      </c>
      <c r="H222" s="62">
        <f>Tabla1[[#This Row],[Merval $]]/F222</f>
        <v>1142.4307981828981</v>
      </c>
      <c r="I222" s="63">
        <f t="shared" si="13"/>
        <v>-3.7164113688750097E-2</v>
      </c>
      <c r="J222" s="63">
        <f t="shared" si="13"/>
        <v>-1.9920851275775694E-2</v>
      </c>
      <c r="K222" s="64">
        <f>VLOOKUP(Tabla1[[#This Row],[Fecha]],[1]Base!$N$5:$O$263,2,FALSE)</f>
        <v>1553</v>
      </c>
    </row>
    <row r="223" spans="1:11">
      <c r="A223" s="174">
        <v>45499</v>
      </c>
      <c r="B223">
        <v>59.1</v>
      </c>
      <c r="C223" s="60">
        <f>VLOOKUP(Tabla1[[#This Row],[Fecha]],[1]Base!$K$5:$L$249,2,FALSE)</f>
        <v>1542021.75</v>
      </c>
      <c r="D223" s="56">
        <f t="shared" si="11"/>
        <v>1.6934805063331477E-3</v>
      </c>
      <c r="E223" s="56">
        <f t="shared" si="11"/>
        <v>2.4294709701215408E-3</v>
      </c>
      <c r="F223">
        <f>VLOOKUP(A223,[1]Base!$A$5:$B$265, 2, FALSE)</f>
        <v>1323.15</v>
      </c>
      <c r="G223" s="61">
        <f t="shared" si="12"/>
        <v>4.4666137626119484E-2</v>
      </c>
      <c r="H223" s="62">
        <f>Tabla1[[#This Row],[Merval $]]/F223</f>
        <v>1165.417186260061</v>
      </c>
      <c r="I223" s="63">
        <f t="shared" si="13"/>
        <v>8.9377062890926701E-3</v>
      </c>
      <c r="J223" s="63">
        <f t="shared" si="13"/>
        <v>9.6736967528812251E-3</v>
      </c>
      <c r="K223" s="64">
        <f>VLOOKUP(Tabla1[[#This Row],[Fecha]],[1]Base!$N$5:$O$263,2,FALSE)</f>
        <v>1562</v>
      </c>
    </row>
    <row r="224" spans="1:11">
      <c r="A224" s="174">
        <v>45498</v>
      </c>
      <c r="B224">
        <v>59</v>
      </c>
      <c r="C224" s="60">
        <f>VLOOKUP(Tabla1[[#This Row],[Fecha]],[1]Base!$K$5:$L$249,2,FALSE)</f>
        <v>1538280</v>
      </c>
      <c r="D224" s="56">
        <f t="shared" si="11"/>
        <v>-1.1794576492837041E-2</v>
      </c>
      <c r="E224" s="56">
        <f t="shared" si="11"/>
        <v>-2.80963103881498E-2</v>
      </c>
      <c r="F224">
        <f>VLOOKUP(A224,[1]Base!$A$5:$B$265, 2, FALSE)</f>
        <v>1332.77</v>
      </c>
      <c r="G224" s="61">
        <f t="shared" si="12"/>
        <v>4.4268703527240258E-2</v>
      </c>
      <c r="H224" s="62">
        <f>Tabla1[[#This Row],[Merval $]]/F224</f>
        <v>1154.197648506494</v>
      </c>
      <c r="I224" s="63">
        <f t="shared" si="13"/>
        <v>-8.2443832707566906E-3</v>
      </c>
      <c r="J224" s="63">
        <f t="shared" si="13"/>
        <v>-2.4546117166069342E-2</v>
      </c>
      <c r="K224" s="64">
        <f>VLOOKUP(Tabla1[[#This Row],[Fecha]],[1]Base!$N$5:$O$263,2,FALSE)</f>
        <v>1589</v>
      </c>
    </row>
    <row r="225" spans="1:11">
      <c r="A225" s="174">
        <v>45497</v>
      </c>
      <c r="B225">
        <v>59.7</v>
      </c>
      <c r="C225" s="60">
        <f>VLOOKUP(Tabla1[[#This Row],[Fecha]],[1]Base!$K$5:$L$249,2,FALSE)</f>
        <v>1582112.88</v>
      </c>
      <c r="D225" s="56">
        <f t="shared" si="11"/>
        <v>-2.6447822543609254E-2</v>
      </c>
      <c r="E225" s="56">
        <f t="shared" si="11"/>
        <v>-3.3293811780560671E-2</v>
      </c>
      <c r="F225">
        <f>VLOOKUP(A225,[1]Base!$A$5:$B$265, 2, FALSE)</f>
        <v>1337.51</v>
      </c>
      <c r="G225" s="61">
        <f t="shared" si="12"/>
        <v>4.4635180297717403E-2</v>
      </c>
      <c r="H225" s="62">
        <f>Tabla1[[#This Row],[Merval $]]/F225</f>
        <v>1182.8792906221261</v>
      </c>
      <c r="I225" s="63">
        <f t="shared" si="13"/>
        <v>-3.5875228635944917E-2</v>
      </c>
      <c r="J225" s="63">
        <f t="shared" si="13"/>
        <v>-4.2721217872896372E-2</v>
      </c>
      <c r="K225" s="64">
        <f>VLOOKUP(Tabla1[[#This Row],[Fecha]],[1]Base!$N$5:$O$263,2,FALSE)</f>
        <v>1577</v>
      </c>
    </row>
    <row r="226" spans="1:11">
      <c r="A226" s="174">
        <v>45496</v>
      </c>
      <c r="B226">
        <v>61.3</v>
      </c>
      <c r="C226" s="60">
        <f>VLOOKUP(Tabla1[[#This Row],[Fecha]],[1]Base!$K$5:$L$249,2,FALSE)</f>
        <v>1635674.13</v>
      </c>
      <c r="D226" s="56">
        <f t="shared" si="11"/>
        <v>1.6326534238853118E-3</v>
      </c>
      <c r="E226" s="56">
        <f t="shared" si="11"/>
        <v>2.8065072979679848E-2</v>
      </c>
      <c r="F226">
        <f>VLOOKUP(A226,[1]Base!$A$5:$B$265, 2, FALSE)</f>
        <v>1324.96</v>
      </c>
      <c r="G226" s="61">
        <f t="shared" si="12"/>
        <v>4.6265547639174009E-2</v>
      </c>
      <c r="H226" s="62">
        <f>Tabla1[[#This Row],[Merval $]]/F226</f>
        <v>1234.5083096848205</v>
      </c>
      <c r="I226" s="63">
        <f t="shared" si="13"/>
        <v>7.9599551942950448E-3</v>
      </c>
      <c r="J226" s="63">
        <f t="shared" si="13"/>
        <v>3.4392374750089681E-2</v>
      </c>
      <c r="K226" s="64">
        <f>VLOOKUP(Tabla1[[#This Row],[Fecha]],[1]Base!$N$5:$O$263,2,FALSE)</f>
        <v>1551</v>
      </c>
    </row>
    <row r="227" spans="1:11">
      <c r="A227" s="174">
        <v>45495</v>
      </c>
      <c r="B227">
        <v>61.2</v>
      </c>
      <c r="C227" s="60">
        <f>VLOOKUP(Tabla1[[#This Row],[Fecha]],[1]Base!$K$5:$L$249,2,FALSE)</f>
        <v>1590407</v>
      </c>
      <c r="D227" s="56">
        <f t="shared" si="11"/>
        <v>3.3225647628320386E-2</v>
      </c>
      <c r="E227" s="56">
        <f t="shared" si="11"/>
        <v>1.3539534352638841E-2</v>
      </c>
      <c r="F227">
        <f>VLOOKUP(A227,[1]Base!$A$5:$B$265, 2, FALSE)</f>
        <v>1333.37</v>
      </c>
      <c r="G227" s="61">
        <f t="shared" si="12"/>
        <v>4.5898737784710923E-2</v>
      </c>
      <c r="H227" s="62">
        <f>Tabla1[[#This Row],[Merval $]]/F227</f>
        <v>1192.7724487576593</v>
      </c>
      <c r="I227" s="63">
        <f t="shared" si="13"/>
        <v>3.1972397080619733E-2</v>
      </c>
      <c r="J227" s="63">
        <f t="shared" si="13"/>
        <v>1.2286283804938245E-2</v>
      </c>
      <c r="K227" s="64">
        <f>VLOOKUP(Tabla1[[#This Row],[Fecha]],[1]Base!$N$5:$O$263,2,FALSE)</f>
        <v>1570</v>
      </c>
    </row>
    <row r="228" spans="1:11">
      <c r="A228" s="174">
        <v>45492</v>
      </c>
      <c r="B228">
        <v>59.2</v>
      </c>
      <c r="C228" s="60">
        <f>VLOOKUP(Tabla1[[#This Row],[Fecha]],[1]Base!$K$5:$L$249,2,FALSE)</f>
        <v>1569018.75</v>
      </c>
      <c r="D228" s="56">
        <f t="shared" si="11"/>
        <v>1.1894787652149146E-2</v>
      </c>
      <c r="E228" s="56">
        <f t="shared" si="11"/>
        <v>2.5973439031212017E-2</v>
      </c>
      <c r="F228">
        <f>VLOOKUP(A228,[1]Base!$A$5:$B$265, 2, FALSE)</f>
        <v>1331.7</v>
      </c>
      <c r="G228" s="61">
        <f t="shared" si="12"/>
        <v>4.4454456709469098E-2</v>
      </c>
      <c r="H228" s="62">
        <f>Tabla1[[#This Row],[Merval $]]/F228</f>
        <v>1178.2073665239918</v>
      </c>
      <c r="I228" s="63">
        <f t="shared" si="13"/>
        <v>-5.0436023837096059E-4</v>
      </c>
      <c r="J228" s="63">
        <f t="shared" si="13"/>
        <v>1.3574291140691808E-2</v>
      </c>
      <c r="K228" s="64">
        <f>VLOOKUP(Tabla1[[#This Row],[Fecha]],[1]Base!$N$5:$O$263,2,FALSE)</f>
        <v>1590</v>
      </c>
    </row>
    <row r="229" spans="1:11">
      <c r="A229" s="174">
        <v>45491</v>
      </c>
      <c r="B229">
        <v>58.5</v>
      </c>
      <c r="C229" s="60">
        <f>VLOOKUP(Tabla1[[#This Row],[Fecha]],[1]Base!$K$5:$L$249,2,FALSE)</f>
        <v>1528790.63</v>
      </c>
      <c r="D229" s="56">
        <f t="shared" si="11"/>
        <v>-1.1894787652149207E-2</v>
      </c>
      <c r="E229" s="56">
        <f t="shared" si="11"/>
        <v>2.812957314831865E-3</v>
      </c>
      <c r="F229">
        <f>VLOOKUP(A229,[1]Base!$A$5:$B$265, 2, FALSE)</f>
        <v>1315.29</v>
      </c>
      <c r="G229" s="61">
        <f t="shared" si="12"/>
        <v>4.4476883424948113E-2</v>
      </c>
      <c r="H229" s="62">
        <f>Tabla1[[#This Row],[Merval $]]/F229</f>
        <v>1162.3220962677433</v>
      </c>
      <c r="I229" s="63">
        <f t="shared" si="13"/>
        <v>-2.3587696820100253E-2</v>
      </c>
      <c r="J229" s="63">
        <f t="shared" si="13"/>
        <v>-8.87995185311901E-3</v>
      </c>
      <c r="K229" s="64">
        <f>VLOOKUP(Tabla1[[#This Row],[Fecha]],[1]Base!$N$5:$O$263,2,FALSE)</f>
        <v>1587</v>
      </c>
    </row>
    <row r="230" spans="1:11">
      <c r="A230" s="174">
        <v>45490</v>
      </c>
      <c r="B230">
        <v>59.2</v>
      </c>
      <c r="C230" s="60">
        <f>VLOOKUP(Tabla1[[#This Row],[Fecha]],[1]Base!$K$5:$L$249,2,FALSE)</f>
        <v>1524496.25</v>
      </c>
      <c r="D230" s="56">
        <f t="shared" si="11"/>
        <v>0</v>
      </c>
      <c r="E230" s="56">
        <f t="shared" si="11"/>
        <v>-1.161597539849504E-3</v>
      </c>
      <c r="F230">
        <f>VLOOKUP(A230,[1]Base!$A$5:$B$265, 2, FALSE)</f>
        <v>1300</v>
      </c>
      <c r="G230" s="61">
        <f t="shared" si="12"/>
        <v>4.5538461538461542E-2</v>
      </c>
      <c r="H230" s="62">
        <f>Tabla1[[#This Row],[Merval $]]/F230</f>
        <v>1172.689423076923</v>
      </c>
      <c r="I230" s="63">
        <f t="shared" si="13"/>
        <v>-1.6332654620897495E-2</v>
      </c>
      <c r="J230" s="63">
        <f t="shared" si="13"/>
        <v>-1.7494252160747192E-2</v>
      </c>
      <c r="K230" s="64">
        <f>VLOOKUP(Tabla1[[#This Row],[Fecha]],[1]Base!$N$5:$O$263,2,FALSE)</f>
        <v>1593</v>
      </c>
    </row>
    <row r="231" spans="1:11">
      <c r="A231" s="174">
        <v>45489</v>
      </c>
      <c r="B231">
        <v>59.2</v>
      </c>
      <c r="C231" s="60">
        <f>VLOOKUP(Tabla1[[#This Row],[Fecha]],[1]Base!$K$5:$L$249,2,FALSE)</f>
        <v>1526268.13</v>
      </c>
      <c r="D231" s="56">
        <f t="shared" si="11"/>
        <v>3.3840979842404942E-3</v>
      </c>
      <c r="E231" s="56">
        <f t="shared" si="11"/>
        <v>1.4043358245012601E-2</v>
      </c>
      <c r="F231">
        <f>VLOOKUP(A231,[1]Base!$A$5:$B$265, 2, FALSE)</f>
        <v>1278.94</v>
      </c>
      <c r="G231" s="61">
        <f t="shared" si="12"/>
        <v>4.6288332525372573E-2</v>
      </c>
      <c r="H231" s="62">
        <f>Tabla1[[#This Row],[Merval $]]/F231</f>
        <v>1193.3852487215975</v>
      </c>
      <c r="I231" s="63">
        <f t="shared" si="13"/>
        <v>2.5499997360865365E-2</v>
      </c>
      <c r="J231" s="63">
        <f t="shared" si="13"/>
        <v>3.6159257621637388E-2</v>
      </c>
      <c r="K231" s="64">
        <f>VLOOKUP(Tabla1[[#This Row],[Fecha]],[1]Base!$N$5:$O$263,2,FALSE)</f>
        <v>1584</v>
      </c>
    </row>
    <row r="232" spans="1:11">
      <c r="A232" s="174">
        <v>45488</v>
      </c>
      <c r="B232">
        <v>59</v>
      </c>
      <c r="C232" s="60">
        <f>VLOOKUP(Tabla1[[#This Row],[Fecha]],[1]Base!$K$5:$L$249,2,FALSE)</f>
        <v>1504984</v>
      </c>
      <c r="D232" s="56">
        <f t="shared" si="11"/>
        <v>-6.4008719800675407E-2</v>
      </c>
      <c r="E232" s="56">
        <f t="shared" si="11"/>
        <v>-0.13098643559304651</v>
      </c>
      <c r="F232">
        <f>VLOOKUP(A232,[1]Base!$A$5:$B$265, 2, FALSE)</f>
        <v>1307.54</v>
      </c>
      <c r="G232" s="61">
        <f t="shared" si="12"/>
        <v>4.5122902549826392E-2</v>
      </c>
      <c r="H232" s="62">
        <f>Tabla1[[#This Row],[Merval $]]/F232</f>
        <v>1151.0041757804734</v>
      </c>
      <c r="I232" s="63">
        <f t="shared" si="13"/>
        <v>1.5835121411034381E-2</v>
      </c>
      <c r="J232" s="63">
        <f t="shared" si="13"/>
        <v>-5.1142594381336684E-2</v>
      </c>
      <c r="K232" s="64">
        <f>VLOOKUP(Tabla1[[#This Row],[Fecha]],[1]Base!$N$5:$O$263,2,FALSE)</f>
        <v>1555</v>
      </c>
    </row>
    <row r="233" spans="1:11">
      <c r="A233" s="174">
        <v>45485</v>
      </c>
      <c r="B233">
        <v>62.9</v>
      </c>
      <c r="C233" s="60">
        <f>VLOOKUP(Tabla1[[#This Row],[Fecha]],[1]Base!$K$5:$L$249,2,FALSE)</f>
        <v>1715610</v>
      </c>
      <c r="D233" s="56">
        <f t="shared" si="11"/>
        <v>-7.9176977367853493E-3</v>
      </c>
      <c r="E233" s="56">
        <f t="shared" si="11"/>
        <v>5.8068962731743952E-3</v>
      </c>
      <c r="F233">
        <f>VLOOKUP(A233,[1]Base!$A$5:$B$265, 2, FALSE)</f>
        <v>1416.22</v>
      </c>
      <c r="G233" s="61">
        <f t="shared" si="12"/>
        <v>4.4414003474036519E-2</v>
      </c>
      <c r="H233" s="62">
        <f>Tabla1[[#This Row],[Merval $]]/F233</f>
        <v>1211.4007710666422</v>
      </c>
      <c r="I233" s="63">
        <f t="shared" si="13"/>
        <v>-1.7061064445266332E-2</v>
      </c>
      <c r="J233" s="63">
        <f t="shared" si="13"/>
        <v>-3.3364704353064391E-3</v>
      </c>
      <c r="K233" s="64">
        <f>VLOOKUP(Tabla1[[#This Row],[Fecha]],[1]Base!$N$5:$O$263,2,FALSE)</f>
        <v>1511</v>
      </c>
    </row>
    <row r="234" spans="1:11">
      <c r="A234" s="174">
        <v>45484</v>
      </c>
      <c r="B234">
        <v>63.4</v>
      </c>
      <c r="C234" s="60">
        <f>VLOOKUP(Tabla1[[#This Row],[Fecha]],[1]Base!$K$5:$L$249,2,FALSE)</f>
        <v>1705676.5</v>
      </c>
      <c r="D234" s="56">
        <f t="shared" si="11"/>
        <v>0</v>
      </c>
      <c r="E234" s="56">
        <f t="shared" si="11"/>
        <v>9.2279518703742604E-3</v>
      </c>
      <c r="F234">
        <f>VLOOKUP(A234,[1]Base!$A$5:$B$265, 2, FALSE)</f>
        <v>1403.33</v>
      </c>
      <c r="G234" s="61">
        <f t="shared" si="12"/>
        <v>4.517825458017715E-2</v>
      </c>
      <c r="H234" s="62">
        <f>Tabla1[[#This Row],[Merval $]]/F234</f>
        <v>1215.4493241076582</v>
      </c>
      <c r="I234" s="63">
        <f t="shared" si="13"/>
        <v>-1.8657579679517096E-2</v>
      </c>
      <c r="J234" s="63">
        <f t="shared" si="13"/>
        <v>-9.4296278091428026E-3</v>
      </c>
      <c r="K234" s="64">
        <f>VLOOKUP(Tabla1[[#This Row],[Fecha]],[1]Base!$N$5:$O$263,2,FALSE)</f>
        <v>1473</v>
      </c>
    </row>
    <row r="235" spans="1:11">
      <c r="A235" s="174">
        <v>45483</v>
      </c>
      <c r="B235">
        <v>63.4</v>
      </c>
      <c r="C235" s="60">
        <f>VLOOKUP(Tabla1[[#This Row],[Fecha]],[1]Base!$K$5:$L$249,2,FALSE)</f>
        <v>1690009</v>
      </c>
      <c r="D235" s="56">
        <f t="shared" si="11"/>
        <v>1.1102413804305104E-2</v>
      </c>
      <c r="E235" s="56">
        <f t="shared" si="11"/>
        <v>2.8075435199607757E-2</v>
      </c>
      <c r="F235">
        <f>VLOOKUP(A235,[1]Base!$A$5:$B$265, 2, FALSE)</f>
        <v>1377.39</v>
      </c>
      <c r="G235" s="61">
        <f t="shared" si="12"/>
        <v>4.6029083992188122E-2</v>
      </c>
      <c r="H235" s="62">
        <f>Tabla1[[#This Row],[Merval $]]/F235</f>
        <v>1226.9647666964331</v>
      </c>
      <c r="I235" s="63">
        <f t="shared" si="13"/>
        <v>1.7954208720866414E-2</v>
      </c>
      <c r="J235" s="63">
        <f t="shared" si="13"/>
        <v>3.492723011616914E-2</v>
      </c>
      <c r="K235" s="64">
        <f>VLOOKUP(Tabla1[[#This Row],[Fecha]],[1]Base!$N$5:$O$263,2,FALSE)</f>
        <v>1477</v>
      </c>
    </row>
    <row r="236" spans="1:11">
      <c r="A236" s="174">
        <v>45481</v>
      </c>
      <c r="B236">
        <v>62.7</v>
      </c>
      <c r="C236" s="60">
        <f>VLOOKUP(Tabla1[[#This Row],[Fecha]],[1]Base!$K$5:$L$249,2,FALSE)</f>
        <v>1643221.13</v>
      </c>
      <c r="D236" s="56">
        <f t="shared" si="11"/>
        <v>4.0689095324099755E-2</v>
      </c>
      <c r="E236" s="56">
        <f t="shared" si="11"/>
        <v>8.6739804395535459E-3</v>
      </c>
      <c r="F236">
        <f>VLOOKUP(A236,[1]Base!$A$5:$B$265, 2, FALSE)</f>
        <v>1386.86</v>
      </c>
      <c r="G236" s="61">
        <f t="shared" si="12"/>
        <v>4.5210042830566899E-2</v>
      </c>
      <c r="H236" s="62">
        <f>Tabla1[[#This Row],[Merval $]]/F236</f>
        <v>1184.8500425421455</v>
      </c>
      <c r="I236" s="63">
        <f t="shared" si="13"/>
        <v>4.7429805695052493E-2</v>
      </c>
      <c r="J236" s="63">
        <f t="shared" si="13"/>
        <v>1.5414690810506344E-2</v>
      </c>
      <c r="K236" s="64">
        <f>VLOOKUP(Tabla1[[#This Row],[Fecha]],[1]Base!$N$5:$O$263,2,FALSE)</f>
        <v>1496</v>
      </c>
    </row>
    <row r="237" spans="1:11">
      <c r="A237" s="174">
        <v>45478</v>
      </c>
      <c r="B237">
        <v>60.2</v>
      </c>
      <c r="C237" s="60">
        <f>VLOOKUP(Tabla1[[#This Row],[Fecha]],[1]Base!$K$5:$L$249,2,FALSE)</f>
        <v>1629029.5</v>
      </c>
      <c r="D237" s="56">
        <f t="shared" si="11"/>
        <v>1.0016778243471209E-2</v>
      </c>
      <c r="E237" s="56">
        <f t="shared" si="11"/>
        <v>1.0046972017080278E-2</v>
      </c>
      <c r="F237">
        <f>VLOOKUP(A237,[1]Base!$A$5:$B$265, 2, FALSE)</f>
        <v>1396.24</v>
      </c>
      <c r="G237" s="61">
        <f t="shared" si="12"/>
        <v>4.3115796711167137E-2</v>
      </c>
      <c r="H237" s="62">
        <f>Tabla1[[#This Row],[Merval $]]/F237</f>
        <v>1166.7259926660172</v>
      </c>
      <c r="I237" s="63">
        <f t="shared" si="13"/>
        <v>9.6156206117985112E-3</v>
      </c>
      <c r="J237" s="63">
        <f t="shared" si="13"/>
        <v>9.6458143854073405E-3</v>
      </c>
      <c r="K237" s="64">
        <f>VLOOKUP(Tabla1[[#This Row],[Fecha]],[1]Base!$N$5:$O$263,2,FALSE)</f>
        <v>1406</v>
      </c>
    </row>
    <row r="238" spans="1:11">
      <c r="A238" s="174">
        <v>45477</v>
      </c>
      <c r="B238">
        <v>59.6</v>
      </c>
      <c r="C238" s="60">
        <f>VLOOKUP(Tabla1[[#This Row],[Fecha]],[1]Base!$K$5:$L$249,2,FALSE)</f>
        <v>1612744.63</v>
      </c>
      <c r="D238" s="56">
        <f t="shared" si="11"/>
        <v>5.0462680676244395E-3</v>
      </c>
      <c r="E238" s="56">
        <f t="shared" si="11"/>
        <v>5.7381248049298067E-3</v>
      </c>
      <c r="F238">
        <f>VLOOKUP(A238,[1]Base!$A$5:$B$265, 2, FALSE)</f>
        <v>1395.68</v>
      </c>
      <c r="G238" s="61">
        <f t="shared" si="12"/>
        <v>4.270319844090336E-2</v>
      </c>
      <c r="H238" s="62">
        <f>Tabla1[[#This Row],[Merval $]]/F238</f>
        <v>1155.5260733119339</v>
      </c>
      <c r="I238" s="63">
        <f t="shared" si="13"/>
        <v>-4.4420292207942207E-3</v>
      </c>
      <c r="J238" s="63">
        <f t="shared" si="13"/>
        <v>-3.7501724834888392E-3</v>
      </c>
      <c r="K238" s="64">
        <f>VLOOKUP(Tabla1[[#This Row],[Fecha]],[1]Base!$N$5:$O$263,2,FALSE)</f>
        <v>1523</v>
      </c>
    </row>
    <row r="239" spans="1:11">
      <c r="A239" s="174">
        <v>45476</v>
      </c>
      <c r="B239">
        <v>59.3</v>
      </c>
      <c r="C239" s="60">
        <f>VLOOKUP(Tabla1[[#This Row],[Fecha]],[1]Base!$K$5:$L$249,2,FALSE)</f>
        <v>1603517</v>
      </c>
      <c r="D239" s="56">
        <f t="shared" si="11"/>
        <v>-2.4980482968441589E-2</v>
      </c>
      <c r="E239" s="56">
        <f t="shared" si="11"/>
        <v>-2.0293944719896734E-2</v>
      </c>
      <c r="F239">
        <f>VLOOKUP(A239,[1]Base!$A$5:$B$265, 2, FALSE)</f>
        <v>1382.5</v>
      </c>
      <c r="G239" s="61">
        <f t="shared" si="12"/>
        <v>4.2893309222423147E-2</v>
      </c>
      <c r="H239" s="62">
        <f>Tabla1[[#This Row],[Merval $]]/F239</f>
        <v>1159.8676311030742</v>
      </c>
      <c r="I239" s="63">
        <f t="shared" si="13"/>
        <v>7.7230035137797956E-3</v>
      </c>
      <c r="J239" s="63">
        <f t="shared" si="13"/>
        <v>1.2409541762324935E-2</v>
      </c>
      <c r="K239" s="64">
        <f>VLOOKUP(Tabla1[[#This Row],[Fecha]],[1]Base!$N$5:$O$263,2,FALSE)</f>
        <v>1521</v>
      </c>
    </row>
    <row r="240" spans="1:11">
      <c r="A240" s="174">
        <v>45475</v>
      </c>
      <c r="B240">
        <v>60.8</v>
      </c>
      <c r="C240" s="60">
        <f>VLOOKUP(Tabla1[[#This Row],[Fecha]],[1]Base!$K$5:$L$249,2,FALSE)</f>
        <v>1636391.13</v>
      </c>
      <c r="D240" s="56">
        <f t="shared" si="11"/>
        <v>2.3295562603522082E-2</v>
      </c>
      <c r="E240" s="56">
        <f t="shared" si="11"/>
        <v>2.5787037765966674E-2</v>
      </c>
      <c r="F240">
        <f>VLOOKUP(A240,[1]Base!$A$5:$B$265, 2, FALSE)</f>
        <v>1428.46</v>
      </c>
      <c r="G240" s="61">
        <f t="shared" si="12"/>
        <v>4.2563319938955235E-2</v>
      </c>
      <c r="H240" s="62">
        <f>Tabla1[[#This Row],[Merval $]]/F240</f>
        <v>1145.563144925304</v>
      </c>
      <c r="I240" s="63">
        <f t="shared" si="13"/>
        <v>1.2420802525130382E-2</v>
      </c>
      <c r="J240" s="63">
        <f t="shared" si="13"/>
        <v>1.4912277687574896E-2</v>
      </c>
      <c r="K240" s="64">
        <f>VLOOKUP(Tabla1[[#This Row],[Fecha]],[1]Base!$N$5:$O$263,2,FALSE)</f>
        <v>1536</v>
      </c>
    </row>
    <row r="241" spans="1:11">
      <c r="A241" s="174">
        <v>45474</v>
      </c>
      <c r="B241">
        <v>59.4</v>
      </c>
      <c r="C241" s="60">
        <f>VLOOKUP(Tabla1[[#This Row],[Fecha]],[1]Base!$K$5:$L$249,2,FALSE)</f>
        <v>1594732.88</v>
      </c>
      <c r="D241" s="56">
        <f t="shared" si="11"/>
        <v>-2.9852963149681274E-2</v>
      </c>
      <c r="E241" s="56">
        <f t="shared" si="11"/>
        <v>-1.0332035331201228E-2</v>
      </c>
      <c r="F241">
        <f>VLOOKUP(A241,[1]Base!$A$5:$B$265, 2, FALSE)</f>
        <v>1413.01</v>
      </c>
      <c r="G241" s="61">
        <f t="shared" si="12"/>
        <v>4.2037919052236007E-2</v>
      </c>
      <c r="H241" s="62">
        <f>Tabla1[[#This Row],[Merval $]]/F241</f>
        <v>1128.6069313026801</v>
      </c>
      <c r="I241" s="63">
        <f t="shared" si="13"/>
        <v>-7.6982805508522642E-2</v>
      </c>
      <c r="J241" s="63">
        <f t="shared" si="13"/>
        <v>-5.7461877690042538E-2</v>
      </c>
      <c r="K241" s="64">
        <f>VLOOKUP(Tabla1[[#This Row],[Fecha]],[1]Base!$N$5:$O$263,2,FALSE)</f>
        <v>1513</v>
      </c>
    </row>
    <row r="242" spans="1:11">
      <c r="A242" s="174">
        <v>45471</v>
      </c>
      <c r="B242">
        <v>61.2</v>
      </c>
      <c r="C242" s="60">
        <f>VLOOKUP(Tabla1[[#This Row],[Fecha]],[1]Base!$K$5:$L$249,2,FALSE)</f>
        <v>1611295.13</v>
      </c>
      <c r="D242" s="56">
        <f t="shared" si="11"/>
        <v>-2.1019367224075346E-2</v>
      </c>
      <c r="E242" s="56">
        <f t="shared" si="11"/>
        <v>-1.5012620362689716E-2</v>
      </c>
      <c r="F242">
        <f>VLOOKUP(A242,[1]Base!$A$5:$B$265, 2, FALSE)</f>
        <v>1347.96</v>
      </c>
      <c r="G242" s="61">
        <f t="shared" si="12"/>
        <v>4.5401940710406839E-2</v>
      </c>
      <c r="H242" s="62">
        <f>Tabla1[[#This Row],[Merval $]]/F242</f>
        <v>1195.3582673076351</v>
      </c>
      <c r="I242" s="63">
        <f t="shared" si="13"/>
        <v>-3.296016404615959E-2</v>
      </c>
      <c r="J242" s="63">
        <f t="shared" si="13"/>
        <v>-2.6953417184773988E-2</v>
      </c>
      <c r="K242" s="64">
        <f>VLOOKUP(Tabla1[[#This Row],[Fecha]],[1]Base!$N$5:$O$263,2,FALSE)</f>
        <v>1456</v>
      </c>
    </row>
    <row r="243" spans="1:11">
      <c r="A243" s="174">
        <v>45470</v>
      </c>
      <c r="B243">
        <v>62.5</v>
      </c>
      <c r="C243" s="60">
        <f>VLOOKUP(Tabla1[[#This Row],[Fecha]],[1]Base!$K$5:$L$249,2,FALSE)</f>
        <v>1635667.38</v>
      </c>
      <c r="D243" s="56">
        <f t="shared" si="11"/>
        <v>5.9325466084814919E-2</v>
      </c>
      <c r="E243" s="56">
        <f t="shared" si="11"/>
        <v>3.8130767790355909E-2</v>
      </c>
      <c r="F243">
        <f>VLOOKUP(A243,[1]Base!$A$5:$B$265, 2, FALSE)</f>
        <v>1331.96</v>
      </c>
      <c r="G243" s="61">
        <f t="shared" si="12"/>
        <v>4.6923331030961891E-2</v>
      </c>
      <c r="H243" s="62">
        <f>Tabla1[[#This Row],[Merval $]]/F243</f>
        <v>1228.0153908525781</v>
      </c>
      <c r="I243" s="63">
        <f t="shared" si="13"/>
        <v>5.9453089401017213E-2</v>
      </c>
      <c r="J243" s="63">
        <f t="shared" si="13"/>
        <v>3.8258391106558431E-2</v>
      </c>
      <c r="K243" s="64">
        <f>VLOOKUP(Tabla1[[#This Row],[Fecha]],[1]Base!$N$5:$O$263,2,FALSE)</f>
        <v>1445</v>
      </c>
    </row>
    <row r="244" spans="1:11">
      <c r="A244" s="174">
        <v>45469</v>
      </c>
      <c r="B244">
        <v>58.9</v>
      </c>
      <c r="C244" s="60">
        <f>VLOOKUP(Tabla1[[#This Row],[Fecha]],[1]Base!$K$5:$L$249,2,FALSE)</f>
        <v>1574472.25</v>
      </c>
      <c r="D244" s="56">
        <f t="shared" si="11"/>
        <v>1.367542679967549E-2</v>
      </c>
      <c r="E244" s="56">
        <f t="shared" si="11"/>
        <v>2.4495317235127315E-3</v>
      </c>
      <c r="F244">
        <f>VLOOKUP(A244,[1]Base!$A$5:$B$265, 2, FALSE)</f>
        <v>1332.13</v>
      </c>
      <c r="G244" s="61">
        <f t="shared" si="12"/>
        <v>4.4214903950815607E-2</v>
      </c>
      <c r="H244" s="62">
        <f>Tabla1[[#This Row],[Merval $]]/F244</f>
        <v>1181.9208710861551</v>
      </c>
      <c r="I244" s="63">
        <f t="shared" si="13"/>
        <v>-3.8478906746056362E-3</v>
      </c>
      <c r="J244" s="63">
        <f t="shared" si="13"/>
        <v>-1.5073785750768518E-2</v>
      </c>
      <c r="K244" s="64">
        <f>VLOOKUP(Tabla1[[#This Row],[Fecha]],[1]Base!$N$5:$O$263,2,FALSE)</f>
        <v>1429</v>
      </c>
    </row>
    <row r="245" spans="1:11">
      <c r="A245" s="174">
        <v>45468</v>
      </c>
      <c r="B245">
        <v>58.1</v>
      </c>
      <c r="C245" s="60">
        <f>VLOOKUP(Tabla1[[#This Row],[Fecha]],[1]Base!$K$5:$L$249,2,FALSE)</f>
        <v>1570620.25</v>
      </c>
      <c r="D245" s="56">
        <f t="shared" si="11"/>
        <v>1.9114396023315453E-2</v>
      </c>
      <c r="E245" s="56">
        <f t="shared" si="11"/>
        <v>6.9980244588208982E-3</v>
      </c>
      <c r="F245">
        <f>VLOOKUP(A245,[1]Base!$A$5:$B$265, 2, FALSE)</f>
        <v>1308.99</v>
      </c>
      <c r="G245" s="61">
        <f t="shared" si="12"/>
        <v>4.438536581639279E-2</v>
      </c>
      <c r="H245" s="62">
        <f>Tabla1[[#This Row],[Merval $]]/F245</f>
        <v>1199.8718477604871</v>
      </c>
      <c r="I245" s="63">
        <f t="shared" si="13"/>
        <v>8.5391134368407902E-3</v>
      </c>
      <c r="J245" s="63">
        <f t="shared" si="13"/>
        <v>-3.5772581276536019E-3</v>
      </c>
      <c r="K245" s="64">
        <f>VLOOKUP(Tabla1[[#This Row],[Fecha]],[1]Base!$N$5:$O$263,2,FALSE)</f>
        <v>1440</v>
      </c>
    </row>
    <row r="246" spans="1:11">
      <c r="A246" s="174">
        <v>45467</v>
      </c>
      <c r="B246">
        <v>57</v>
      </c>
      <c r="C246" s="60">
        <f>VLOOKUP(Tabla1[[#This Row],[Fecha]],[1]Base!$K$5:$L$249,2,FALSE)</f>
        <v>1559667.38</v>
      </c>
      <c r="D246" s="56">
        <f t="shared" si="11"/>
        <v>-2.4264621999631208E-2</v>
      </c>
      <c r="E246" s="56">
        <f t="shared" si="11"/>
        <v>-1.0710756152072728E-2</v>
      </c>
      <c r="F246">
        <f>VLOOKUP(A246,[1]Base!$A$5:$B$265, 2, FALSE)</f>
        <v>1295.22</v>
      </c>
      <c r="G246" s="61">
        <f t="shared" si="12"/>
        <v>4.4007967758373095E-2</v>
      </c>
      <c r="H246" s="62">
        <f>Tabla1[[#This Row],[Merval $]]/F246</f>
        <v>1204.1717854881795</v>
      </c>
      <c r="I246" s="63">
        <f t="shared" si="13"/>
        <v>-4.0932777442036564E-2</v>
      </c>
      <c r="J246" s="63">
        <f t="shared" si="13"/>
        <v>-2.7378911594478118E-2</v>
      </c>
      <c r="K246" s="64">
        <f>VLOOKUP(Tabla1[[#This Row],[Fecha]],[1]Base!$N$5:$O$263,2,FALSE)</f>
        <v>1443</v>
      </c>
    </row>
    <row r="247" spans="1:11">
      <c r="A247" s="174">
        <v>45462</v>
      </c>
      <c r="B247">
        <v>58.4</v>
      </c>
      <c r="C247" s="60">
        <f>VLOOKUP(Tabla1[[#This Row],[Fecha]],[1]Base!$K$5:$L$249,2,FALSE)</f>
        <v>1576462.38</v>
      </c>
      <c r="D247" s="56">
        <f t="shared" si="11"/>
        <v>-1.7108644036294301E-3</v>
      </c>
      <c r="E247" s="56">
        <f t="shared" si="11"/>
        <v>1.2146547452277586E-2</v>
      </c>
      <c r="F247">
        <f>VLOOKUP(A247,[1]Base!$A$5:$B$265, 2, FALSE)</f>
        <v>1273.81</v>
      </c>
      <c r="G247" s="61">
        <f t="shared" si="12"/>
        <v>4.584671183300492E-2</v>
      </c>
      <c r="H247" s="62">
        <f>Tabla1[[#This Row],[Merval $]]/F247</f>
        <v>1237.5961721135805</v>
      </c>
      <c r="I247" s="63">
        <f t="shared" si="13"/>
        <v>-2.419424707011613E-2</v>
      </c>
      <c r="J247" s="63">
        <f t="shared" si="13"/>
        <v>-1.0336835214209196E-2</v>
      </c>
      <c r="K247" s="64">
        <f>VLOOKUP(Tabla1[[#This Row],[Fecha]],[1]Base!$N$5:$O$263,2,FALSE)</f>
        <v>1384</v>
      </c>
    </row>
    <row r="248" spans="1:11">
      <c r="A248" s="174">
        <v>45461</v>
      </c>
      <c r="B248">
        <v>58.5</v>
      </c>
      <c r="C248" s="60">
        <f>VLOOKUP(Tabla1[[#This Row],[Fecha]],[1]Base!$K$5:$L$249,2,FALSE)</f>
        <v>1557429.63</v>
      </c>
      <c r="D248" s="56">
        <f t="shared" si="11"/>
        <v>-3.8563034734310477E-2</v>
      </c>
      <c r="E248" s="56">
        <f t="shared" si="11"/>
        <v>-1.5888197810362614E-2</v>
      </c>
      <c r="F248">
        <f>VLOOKUP(A248,[1]Base!$A$5:$B$265, 2, FALSE)</f>
        <v>1245.49</v>
      </c>
      <c r="G248" s="61">
        <f t="shared" si="12"/>
        <v>4.6969465832724468E-2</v>
      </c>
      <c r="H248" s="62">
        <f>Tabla1[[#This Row],[Merval $]]/F248</f>
        <v>1250.4553468915847</v>
      </c>
      <c r="I248" s="63">
        <f t="shared" si="13"/>
        <v>-3.9245730041795247E-2</v>
      </c>
      <c r="J248" s="63">
        <f t="shared" si="13"/>
        <v>-1.6570893117847364E-2</v>
      </c>
      <c r="K248" s="64">
        <f>VLOOKUP(Tabla1[[#This Row],[Fecha]],[1]Base!$N$5:$O$263,2,FALSE)</f>
        <v>1385</v>
      </c>
    </row>
    <row r="249" spans="1:11">
      <c r="A249" s="174">
        <v>45457</v>
      </c>
      <c r="B249">
        <v>60.8</v>
      </c>
      <c r="C249" s="60">
        <f>VLOOKUP(Tabla1[[#This Row],[Fecha]],[1]Base!$K$5:$L$249,2,FALSE)</f>
        <v>1582372</v>
      </c>
      <c r="D249" s="56">
        <f t="shared" si="11"/>
        <v>-1.7930390718429133E-2</v>
      </c>
      <c r="E249" s="56">
        <f t="shared" si="11"/>
        <v>-1.4328592841557478E-2</v>
      </c>
      <c r="F249">
        <f>VLOOKUP(A249,[1]Base!$A$5:$B$265, 2, FALSE)</f>
        <v>1244.6400000000001</v>
      </c>
      <c r="G249" s="61">
        <f t="shared" si="12"/>
        <v>4.8849466512405189E-2</v>
      </c>
      <c r="H249" s="62">
        <f>Tabla1[[#This Row],[Merval $]]/F249</f>
        <v>1271.3491451343359</v>
      </c>
      <c r="I249" s="63">
        <f t="shared" si="13"/>
        <v>-2.0778639041417617E-2</v>
      </c>
      <c r="J249" s="63">
        <f t="shared" si="13"/>
        <v>-1.7176841164546052E-2</v>
      </c>
      <c r="K249" s="64">
        <f>VLOOKUP(Tabla1[[#This Row],[Fecha]],[1]Base!$N$5:$O$263,2,FALSE)</f>
        <v>1382</v>
      </c>
    </row>
    <row r="250" spans="1:11">
      <c r="A250" s="174">
        <v>45456</v>
      </c>
      <c r="B250">
        <v>61.9</v>
      </c>
      <c r="C250" s="60">
        <f>VLOOKUP(Tabla1[[#This Row],[Fecha]],[1]Base!$K$5:$L$249,2,FALSE)</f>
        <v>1605208.38</v>
      </c>
      <c r="D250" s="56">
        <f t="shared" si="11"/>
        <v>3.6188159291993885E-2</v>
      </c>
      <c r="E250" s="56">
        <f t="shared" si="11"/>
        <v>2.3391193054322263E-2</v>
      </c>
      <c r="F250">
        <f>VLOOKUP(A250,[1]Base!$A$5:$B$265, 2, FALSE)</f>
        <v>1241.0999999999999</v>
      </c>
      <c r="G250" s="61">
        <f t="shared" si="12"/>
        <v>4.9875110788816374E-2</v>
      </c>
      <c r="H250" s="62">
        <f>Tabla1[[#This Row],[Merval $]]/F250</f>
        <v>1293.3755378293449</v>
      </c>
      <c r="I250" s="63">
        <f t="shared" si="13"/>
        <v>6.6221685985248968E-2</v>
      </c>
      <c r="J250" s="63">
        <f t="shared" si="13"/>
        <v>5.3424719747577273E-2</v>
      </c>
      <c r="K250" s="64">
        <f>VLOOKUP(Tabla1[[#This Row],[Fecha]],[1]Base!$N$5:$O$263,2,FALSE)</f>
        <v>1421</v>
      </c>
    </row>
    <row r="251" spans="1:11">
      <c r="A251" s="174">
        <v>45455</v>
      </c>
      <c r="B251">
        <v>59.7</v>
      </c>
      <c r="C251" s="60">
        <f>VLOOKUP(Tabla1[[#This Row],[Fecha]],[1]Base!$K$5:$L$249,2,FALSE)</f>
        <v>1568096.38</v>
      </c>
      <c r="D251" s="56">
        <f t="shared" si="11"/>
        <v>2.5446665661164176E-2</v>
      </c>
      <c r="E251" s="56">
        <f t="shared" si="11"/>
        <v>1.4923107939085588E-2</v>
      </c>
      <c r="F251">
        <f>VLOOKUP(A251,[1]Base!$A$5:$B$265, 2, FALSE)</f>
        <v>1278.94</v>
      </c>
      <c r="G251" s="61">
        <f t="shared" si="12"/>
        <v>4.6679281279809845E-2</v>
      </c>
      <c r="H251" s="62">
        <f>Tabla1[[#This Row],[Merval $]]/F251</f>
        <v>1226.0906531971789</v>
      </c>
      <c r="I251" s="63">
        <f t="shared" si="13"/>
        <v>2.1498116948174984E-2</v>
      </c>
      <c r="J251" s="63">
        <f t="shared" si="13"/>
        <v>1.0974559226096444E-2</v>
      </c>
      <c r="K251" s="64">
        <f>VLOOKUP(Tabla1[[#This Row],[Fecha]],[1]Base!$N$5:$O$263,2,FALSE)</f>
        <v>1484</v>
      </c>
    </row>
    <row r="252" spans="1:11">
      <c r="A252" s="174">
        <v>45454</v>
      </c>
      <c r="B252">
        <v>58.2</v>
      </c>
      <c r="C252" s="60">
        <f>VLOOKUP(Tabla1[[#This Row],[Fecha]],[1]Base!$K$5:$L$249,2,FALSE)</f>
        <v>1544869.25</v>
      </c>
      <c r="D252" s="56">
        <f t="shared" si="11"/>
        <v>-4.698850943591909E-2</v>
      </c>
      <c r="E252" s="56">
        <f t="shared" si="11"/>
        <v>-2.0349351305933992E-2</v>
      </c>
      <c r="F252">
        <f>VLOOKUP(A252,[1]Base!$A$5:$B$265, 2, FALSE)</f>
        <v>1273.9000000000001</v>
      </c>
      <c r="G252" s="61">
        <f t="shared" si="12"/>
        <v>4.5686474605542038E-2</v>
      </c>
      <c r="H252" s="62">
        <f>Tabla1[[#This Row],[Merval $]]/F252</f>
        <v>1212.7084151032261</v>
      </c>
      <c r="I252" s="63">
        <f t="shared" si="13"/>
        <v>-4.7985945244875677E-2</v>
      </c>
      <c r="J252" s="63">
        <f t="shared" si="13"/>
        <v>-2.134678711489077E-2</v>
      </c>
      <c r="K252" s="64">
        <f>VLOOKUP(Tabla1[[#This Row],[Fecha]],[1]Base!$N$5:$O$263,2,FALSE)</f>
        <v>1525</v>
      </c>
    </row>
    <row r="253" spans="1:11">
      <c r="A253" s="174">
        <v>45453</v>
      </c>
      <c r="B253">
        <v>61</v>
      </c>
      <c r="C253" s="60">
        <f>VLOOKUP(Tabla1[[#This Row],[Fecha]],[1]Base!$K$5:$L$249,2,FALSE)</f>
        <v>1576628.38</v>
      </c>
      <c r="D253" s="56">
        <f t="shared" si="11"/>
        <v>8.3738051644660666E-2</v>
      </c>
      <c r="E253" s="56">
        <f t="shared" si="11"/>
        <v>3.7098740002940493E-2</v>
      </c>
      <c r="F253">
        <f>VLOOKUP(A253,[1]Base!$A$5:$B$265, 2, FALSE)</f>
        <v>1272.6300000000001</v>
      </c>
      <c r="G253" s="61">
        <f t="shared" si="12"/>
        <v>4.7932234820804158E-2</v>
      </c>
      <c r="H253" s="62">
        <f>Tabla1[[#This Row],[Merval $]]/F253</f>
        <v>1238.8741268082631</v>
      </c>
      <c r="I253" s="63">
        <f t="shared" si="13"/>
        <v>9.1331161990557103E-2</v>
      </c>
      <c r="J253" s="63">
        <f t="shared" si="13"/>
        <v>4.4691850348837173E-2</v>
      </c>
      <c r="K253" s="64">
        <f>VLOOKUP(Tabla1[[#This Row],[Fecha]],[1]Base!$N$5:$O$263,2,FALSE)</f>
        <v>1488</v>
      </c>
    </row>
    <row r="254" spans="1:11">
      <c r="A254" s="174">
        <v>45450</v>
      </c>
      <c r="B254">
        <v>56.1</v>
      </c>
      <c r="C254" s="60">
        <f>VLOOKUP(Tabla1[[#This Row],[Fecha]],[1]Base!$K$5:$L$249,2,FALSE)</f>
        <v>1519209.13</v>
      </c>
      <c r="D254" s="56">
        <f t="shared" si="11"/>
        <v>4.558674445189427E-2</v>
      </c>
      <c r="E254" s="56">
        <f t="shared" si="11"/>
        <v>1.0242279426312834E-2</v>
      </c>
      <c r="F254">
        <f>VLOOKUP(A254,[1]Base!$A$5:$B$265, 2, FALSE)</f>
        <v>1282.33</v>
      </c>
      <c r="G254" s="61">
        <f t="shared" si="12"/>
        <v>4.3748489078474347E-2</v>
      </c>
      <c r="H254" s="62">
        <f>Tabla1[[#This Row],[Merval $]]/F254</f>
        <v>1184.7255620628075</v>
      </c>
      <c r="I254" s="63">
        <f t="shared" si="13"/>
        <v>3.750633530359837E-2</v>
      </c>
      <c r="J254" s="63">
        <f t="shared" si="13"/>
        <v>2.1618702780167739E-3</v>
      </c>
      <c r="K254" s="64">
        <f>VLOOKUP(Tabla1[[#This Row],[Fecha]],[1]Base!$N$5:$O$263,2,FALSE)</f>
        <v>1582</v>
      </c>
    </row>
    <row r="255" spans="1:11">
      <c r="A255" s="174">
        <v>45449</v>
      </c>
      <c r="B255">
        <v>53.6</v>
      </c>
      <c r="C255" s="60">
        <f>VLOOKUP(Tabla1[[#This Row],[Fecha]],[1]Base!$K$5:$L$249,2,FALSE)</f>
        <v>1503728.38</v>
      </c>
      <c r="D255" s="56"/>
      <c r="E255" s="56"/>
      <c r="F255">
        <f>VLOOKUP(A255,[1]Base!$A$5:$B$265, 2, FALSE)</f>
        <v>1272.01</v>
      </c>
      <c r="G255" s="61">
        <f t="shared" si="12"/>
        <v>4.21380335060259E-2</v>
      </c>
      <c r="H255" s="62">
        <f>Tabla1[[#This Row],[Merval $]]/F255</f>
        <v>1182.1671056045157</v>
      </c>
      <c r="I255" s="63"/>
      <c r="J255" s="63"/>
      <c r="K255" s="64">
        <f>VLOOKUP(Tabla1[[#This Row],[Fecha]],[1]Base!$N$5:$O$263,2,FALSE)</f>
        <v>1596</v>
      </c>
    </row>
  </sheetData>
  <mergeCells count="4">
    <mergeCell ref="P41:Q41"/>
    <mergeCell ref="R41:S41"/>
    <mergeCell ref="V41:W41"/>
    <mergeCell ref="V49:W49"/>
  </mergeCells>
  <conditionalFormatting sqref="P47:S47">
    <cfRule type="cellIs" dxfId="0" priority="1" operator="lessThan">
      <formula>0.05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914BD-5B9F-4BC8-AB91-7DEDB4117463}">
  <dimension ref="K22:O41"/>
  <sheetViews>
    <sheetView tabSelected="1" workbookViewId="0">
      <selection activeCell="O25" sqref="O25"/>
    </sheetView>
  </sheetViews>
  <sheetFormatPr baseColWidth="10" defaultRowHeight="14.25"/>
  <cols>
    <col min="12" max="12" width="19.75" bestFit="1" customWidth="1"/>
    <col min="14" max="14" width="18.875" bestFit="1" customWidth="1"/>
    <col min="15" max="15" width="12.125" bestFit="1" customWidth="1"/>
    <col min="17" max="17" width="19.875" customWidth="1"/>
    <col min="18" max="18" width="14.625" bestFit="1" customWidth="1"/>
  </cols>
  <sheetData>
    <row r="22" spans="11:15">
      <c r="K22" s="197" t="s">
        <v>207</v>
      </c>
      <c r="L22" s="197"/>
      <c r="N22" s="3" t="s">
        <v>220</v>
      </c>
      <c r="O22" s="80">
        <v>112183500</v>
      </c>
    </row>
    <row r="23" spans="11:15">
      <c r="K23" s="3" t="s">
        <v>206</v>
      </c>
      <c r="L23" s="115">
        <v>773617700000</v>
      </c>
      <c r="N23" s="3" t="s">
        <v>221</v>
      </c>
      <c r="O23" s="80">
        <f>'6) Proyecciones'!F15</f>
        <v>199679821.91536051</v>
      </c>
    </row>
    <row r="24" spans="11:15">
      <c r="K24" s="3" t="s">
        <v>116</v>
      </c>
      <c r="L24" s="116">
        <v>84924515513</v>
      </c>
      <c r="N24" s="3" t="s">
        <v>222</v>
      </c>
      <c r="O24" s="120">
        <f>O23/O22</f>
        <v>1.7799393129592187</v>
      </c>
    </row>
    <row r="25" spans="11:15">
      <c r="K25" s="3" t="s">
        <v>205</v>
      </c>
      <c r="L25" s="117">
        <f>L24/L23</f>
        <v>0.10977581758147467</v>
      </c>
    </row>
    <row r="26" spans="11:15">
      <c r="L26" s="64"/>
    </row>
    <row r="27" spans="11:15">
      <c r="L27" s="56"/>
    </row>
    <row r="28" spans="11:15">
      <c r="K28" s="193" t="s">
        <v>99</v>
      </c>
      <c r="L28" s="196" t="s">
        <v>217</v>
      </c>
      <c r="M28" s="193" t="s">
        <v>205</v>
      </c>
    </row>
    <row r="29" spans="11:15">
      <c r="K29" s="3" t="s">
        <v>206</v>
      </c>
      <c r="L29" s="3">
        <v>6896</v>
      </c>
      <c r="M29" s="3"/>
    </row>
    <row r="30" spans="11:15">
      <c r="K30" s="3" t="s">
        <v>208</v>
      </c>
      <c r="L30" s="118">
        <v>1634.3519999999999</v>
      </c>
      <c r="M30" s="119">
        <f t="shared" ref="M30:M39" si="0">L30/$L$29</f>
        <v>0.23699999999999999</v>
      </c>
    </row>
    <row r="31" spans="11:15">
      <c r="K31" s="3" t="s">
        <v>209</v>
      </c>
      <c r="L31" s="118">
        <v>724.07999999999993</v>
      </c>
      <c r="M31" s="119">
        <f t="shared" si="0"/>
        <v>0.105</v>
      </c>
    </row>
    <row r="32" spans="11:15">
      <c r="K32" s="3" t="s">
        <v>210</v>
      </c>
      <c r="L32" s="118">
        <v>799.93600000000004</v>
      </c>
      <c r="M32" s="119">
        <f t="shared" si="0"/>
        <v>0.11600000000000001</v>
      </c>
    </row>
    <row r="33" spans="11:13">
      <c r="K33" s="3" t="s">
        <v>211</v>
      </c>
      <c r="L33" s="118">
        <v>393.072</v>
      </c>
      <c r="M33" s="119">
        <f t="shared" si="0"/>
        <v>5.7000000000000002E-2</v>
      </c>
    </row>
    <row r="34" spans="11:13">
      <c r="K34" s="3" t="s">
        <v>212</v>
      </c>
      <c r="L34" s="118">
        <v>413.76</v>
      </c>
      <c r="M34" s="119">
        <f t="shared" si="0"/>
        <v>0.06</v>
      </c>
    </row>
    <row r="35" spans="11:13">
      <c r="K35" s="3" t="s">
        <v>213</v>
      </c>
      <c r="L35" s="118">
        <v>234.46400000000003</v>
      </c>
      <c r="M35" s="119">
        <f t="shared" si="0"/>
        <v>3.4000000000000002E-2</v>
      </c>
    </row>
    <row r="36" spans="11:13">
      <c r="K36" s="3" t="s">
        <v>115</v>
      </c>
      <c r="L36" s="118">
        <v>323</v>
      </c>
      <c r="M36" s="119">
        <f t="shared" si="0"/>
        <v>4.6838747099767979E-2</v>
      </c>
    </row>
    <row r="37" spans="11:13">
      <c r="K37" s="3" t="s">
        <v>214</v>
      </c>
      <c r="L37" s="118">
        <v>199.98400000000001</v>
      </c>
      <c r="M37" s="119">
        <f t="shared" si="0"/>
        <v>2.9000000000000001E-2</v>
      </c>
    </row>
    <row r="38" spans="11:13">
      <c r="K38" s="3" t="s">
        <v>215</v>
      </c>
      <c r="L38" s="118">
        <v>199.98400000000001</v>
      </c>
      <c r="M38" s="119">
        <f t="shared" si="0"/>
        <v>2.9000000000000001E-2</v>
      </c>
    </row>
    <row r="39" spans="11:13">
      <c r="K39" s="3" t="s">
        <v>216</v>
      </c>
      <c r="L39" s="118">
        <v>179.29599999999999</v>
      </c>
      <c r="M39" s="119">
        <f t="shared" si="0"/>
        <v>2.5999999999999999E-2</v>
      </c>
    </row>
    <row r="40" spans="11:13">
      <c r="L40" s="56"/>
      <c r="M40" s="65"/>
    </row>
    <row r="41" spans="11:13">
      <c r="K41" t="s">
        <v>218</v>
      </c>
    </row>
  </sheetData>
  <mergeCells count="1">
    <mergeCell ref="K22:L2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AA5B7-B8CE-409A-8BF7-DC22BC599762}">
  <dimension ref="A6:K72"/>
  <sheetViews>
    <sheetView zoomScale="80" zoomScaleNormal="80" workbookViewId="0">
      <selection activeCell="K51" sqref="K51"/>
    </sheetView>
  </sheetViews>
  <sheetFormatPr baseColWidth="10" defaultRowHeight="14.25"/>
  <cols>
    <col min="6" max="6" width="7.375" bestFit="1" customWidth="1"/>
    <col min="7" max="7" width="14.875" bestFit="1" customWidth="1"/>
    <col min="8" max="8" width="11.5" customWidth="1"/>
    <col min="9" max="9" width="15.5" customWidth="1"/>
    <col min="10" max="10" width="15" bestFit="1" customWidth="1"/>
  </cols>
  <sheetData>
    <row r="6" spans="1:11" ht="30">
      <c r="A6" s="103"/>
      <c r="B6" s="104" t="s">
        <v>124</v>
      </c>
      <c r="C6" s="104" t="s">
        <v>125</v>
      </c>
      <c r="D6" s="105" t="s">
        <v>156</v>
      </c>
      <c r="E6" s="104" t="s">
        <v>157</v>
      </c>
      <c r="F6" s="104" t="s">
        <v>158</v>
      </c>
      <c r="G6" s="48"/>
      <c r="H6" t="s">
        <v>204</v>
      </c>
      <c r="I6" s="48" t="s">
        <v>159</v>
      </c>
      <c r="J6" s="48" t="s">
        <v>156</v>
      </c>
      <c r="K6" t="s">
        <v>102</v>
      </c>
    </row>
    <row r="7" spans="1:11" ht="15">
      <c r="A7" s="109">
        <v>43831</v>
      </c>
      <c r="B7" s="110">
        <v>289.82990000000001</v>
      </c>
      <c r="C7" s="106"/>
      <c r="D7" s="107"/>
      <c r="E7" s="111">
        <v>140.708516607907</v>
      </c>
      <c r="F7" s="103"/>
      <c r="H7">
        <v>2020</v>
      </c>
      <c r="I7" s="56">
        <f>[1]Base!V16</f>
        <v>0.36099999999999999</v>
      </c>
      <c r="J7" s="88">
        <v>122.63622377622364</v>
      </c>
      <c r="K7" s="65">
        <f>Base!$AJ14</f>
        <v>-9.9000000000000005E-2</v>
      </c>
    </row>
    <row r="8" spans="1:11" ht="15">
      <c r="A8" s="109">
        <v>43862</v>
      </c>
      <c r="B8" s="110">
        <v>295.666</v>
      </c>
      <c r="C8" s="106">
        <f>B8/B7-1</f>
        <v>2.0136293736429556E-2</v>
      </c>
      <c r="D8" s="107"/>
      <c r="E8" s="111">
        <v>138.88807227943951</v>
      </c>
      <c r="F8" s="106">
        <f>E8/E7-1</f>
        <v>-1.2937698245659601E-2</v>
      </c>
      <c r="H8">
        <v>2021</v>
      </c>
      <c r="I8" s="56">
        <f>[1]Base!V28</f>
        <v>0.50941633543466325</v>
      </c>
      <c r="J8" s="88">
        <v>164.48068493150674</v>
      </c>
      <c r="K8" s="65">
        <f>Base!$AJ15</f>
        <v>0.10441812002456641</v>
      </c>
    </row>
    <row r="9" spans="1:11" ht="15">
      <c r="A9" s="109">
        <v>43891</v>
      </c>
      <c r="B9" s="110">
        <v>305.55149999999998</v>
      </c>
      <c r="C9" s="106">
        <f t="shared" ref="C9:C70" si="0">B9/B8-1</f>
        <v>3.3434686436722538E-2</v>
      </c>
      <c r="D9" s="108">
        <v>87.930833333333325</v>
      </c>
      <c r="E9" s="111">
        <v>125.4831696135107</v>
      </c>
      <c r="F9" s="106">
        <f t="shared" ref="F9:F72" si="1">E9/E8-1</f>
        <v>-9.6515866668222428E-2</v>
      </c>
      <c r="H9">
        <v>2022</v>
      </c>
      <c r="I9" s="56">
        <f>[1]Base!V40</f>
        <v>0.9479318233519185</v>
      </c>
      <c r="J9" s="88">
        <v>250.58223367697596</v>
      </c>
      <c r="K9" s="65">
        <f>Base!$AJ16</f>
        <v>5.2698796689142346E-2</v>
      </c>
    </row>
    <row r="10" spans="1:11" ht="15">
      <c r="A10" s="109">
        <v>43922</v>
      </c>
      <c r="B10" s="110">
        <v>310.12430000000001</v>
      </c>
      <c r="C10" s="106">
        <f t="shared" si="0"/>
        <v>1.4965725908725691E-2</v>
      </c>
      <c r="D10" s="108">
        <v>100.62766666666668</v>
      </c>
      <c r="E10" s="111">
        <v>106.10837051376264</v>
      </c>
      <c r="F10" s="106">
        <f t="shared" si="1"/>
        <v>-0.15440157560111545</v>
      </c>
      <c r="H10">
        <v>2023</v>
      </c>
      <c r="I10" s="56">
        <f>[1]Base!V52</f>
        <v>2.114076437471768</v>
      </c>
      <c r="J10" s="88">
        <v>573.54615384615374</v>
      </c>
      <c r="K10" s="65">
        <f>Base!$AJ17</f>
        <v>-1.6110016199314625E-2</v>
      </c>
    </row>
    <row r="11" spans="1:11" ht="15">
      <c r="A11" s="109">
        <v>43952</v>
      </c>
      <c r="B11" s="110">
        <v>314.90870000000001</v>
      </c>
      <c r="C11" s="106">
        <f t="shared" si="0"/>
        <v>1.5427362512386189E-2</v>
      </c>
      <c r="D11" s="108">
        <v>113.1474193548387</v>
      </c>
      <c r="E11" s="111">
        <v>117.6351361629366</v>
      </c>
      <c r="F11" s="106">
        <f t="shared" si="1"/>
        <v>0.10863201077693407</v>
      </c>
      <c r="H11">
        <v>2024</v>
      </c>
      <c r="I11" s="56">
        <f>[1]Base!V64</f>
        <v>1.1776362746413853</v>
      </c>
      <c r="J11" s="88">
        <v>1163.4084351145029</v>
      </c>
      <c r="K11" s="65">
        <f>Base!$AJ18</f>
        <v>-1.7191051502288723E-2</v>
      </c>
    </row>
    <row r="12" spans="1:11" ht="15">
      <c r="A12" s="109">
        <v>43983</v>
      </c>
      <c r="B12" s="110">
        <v>321.97379999999998</v>
      </c>
      <c r="C12" s="106">
        <f t="shared" si="0"/>
        <v>2.2435391591276943E-2</v>
      </c>
      <c r="D12" s="108">
        <v>106.66551724137931</v>
      </c>
      <c r="E12" s="111">
        <v>124.84621580326748</v>
      </c>
      <c r="F12" s="106">
        <f t="shared" si="1"/>
        <v>6.1300389284565382E-2</v>
      </c>
      <c r="H12">
        <v>2025</v>
      </c>
      <c r="I12" s="56">
        <v>0.35899999999999999</v>
      </c>
      <c r="J12" s="88">
        <v>1300</v>
      </c>
      <c r="K12" s="65">
        <f>Base!$AJ19</f>
        <v>5.5E-2</v>
      </c>
    </row>
    <row r="13" spans="1:11" ht="15">
      <c r="A13" s="109">
        <v>44013</v>
      </c>
      <c r="B13" s="110">
        <v>328.20139999999998</v>
      </c>
      <c r="C13" s="106">
        <f t="shared" si="0"/>
        <v>1.9341946456512993E-2</v>
      </c>
      <c r="D13" s="108">
        <v>112.08999999999999</v>
      </c>
      <c r="E13" s="111">
        <v>126.19018005220479</v>
      </c>
      <c r="F13" s="106">
        <f t="shared" si="1"/>
        <v>1.076495783464626E-2</v>
      </c>
      <c r="H13" s="86" t="s">
        <v>29</v>
      </c>
      <c r="I13" s="65">
        <v>0.14499999999999999</v>
      </c>
      <c r="J13" s="88">
        <f>'6) Proyecciones'!H7</f>
        <v>1715.4564983467526</v>
      </c>
      <c r="K13" s="65">
        <f>Base!$AJ20</f>
        <v>4.4999999999999998E-2</v>
      </c>
    </row>
    <row r="14" spans="1:11" ht="15">
      <c r="A14" s="109">
        <v>44044</v>
      </c>
      <c r="B14" s="110">
        <v>337.06319999999999</v>
      </c>
      <c r="C14" s="106">
        <f t="shared" si="0"/>
        <v>2.7001103590661213E-2</v>
      </c>
      <c r="D14" s="108">
        <v>124.42870967741938</v>
      </c>
      <c r="E14" s="111">
        <v>129.01078631226329</v>
      </c>
      <c r="F14" s="106">
        <f t="shared" si="1"/>
        <v>2.235202659106772E-2</v>
      </c>
      <c r="H14" s="86" t="s">
        <v>30</v>
      </c>
      <c r="I14" s="67">
        <v>9.4E-2</v>
      </c>
      <c r="J14" s="88">
        <f>'6) Proyecciones'!I7</f>
        <v>1838.6131695796785</v>
      </c>
      <c r="K14" s="65">
        <f>Base!$AJ21</f>
        <v>0.04</v>
      </c>
    </row>
    <row r="15" spans="1:11" ht="15">
      <c r="A15" s="109">
        <v>44075</v>
      </c>
      <c r="B15" s="110">
        <v>346.6207</v>
      </c>
      <c r="C15" s="106">
        <f t="shared" si="0"/>
        <v>2.8355216469789557E-2</v>
      </c>
      <c r="D15" s="108">
        <v>126.99266666666666</v>
      </c>
      <c r="E15" s="111">
        <v>130.82176422463272</v>
      </c>
      <c r="F15" s="106">
        <f t="shared" si="1"/>
        <v>1.4037414732021247E-2</v>
      </c>
      <c r="H15" s="86" t="s">
        <v>31</v>
      </c>
      <c r="I15" s="65">
        <v>7.4999999999999997E-2</v>
      </c>
      <c r="J15" s="88">
        <f>'6) Proyecciones'!J7</f>
        <v>1933.0624762361688</v>
      </c>
      <c r="K15" s="65">
        <f>Base!$AJ22</f>
        <v>3.2000000000000001E-2</v>
      </c>
    </row>
    <row r="16" spans="1:11" ht="15">
      <c r="A16" s="109">
        <v>44105</v>
      </c>
      <c r="B16" s="110">
        <v>359.65699999999998</v>
      </c>
      <c r="C16" s="106">
        <f t="shared" si="0"/>
        <v>3.7609698439821981E-2</v>
      </c>
      <c r="D16" s="108">
        <v>147.92129032258063</v>
      </c>
      <c r="E16" s="111">
        <v>133.64961718508465</v>
      </c>
      <c r="F16" s="106">
        <f t="shared" si="1"/>
        <v>2.1616074184691803E-2</v>
      </c>
      <c r="H16" s="86" t="s">
        <v>32</v>
      </c>
      <c r="I16" s="65">
        <v>7.4999999999999997E-2</v>
      </c>
      <c r="J16" s="88">
        <f>'6) Proyecciones'!K7</f>
        <v>2033.3093561192579</v>
      </c>
      <c r="K16" s="65">
        <f>Base!$AJ23</f>
        <v>3.1E-2</v>
      </c>
    </row>
    <row r="17" spans="1:11" ht="15">
      <c r="A17" s="109">
        <v>44136</v>
      </c>
      <c r="B17" s="110">
        <v>371.02109999999999</v>
      </c>
      <c r="C17" s="106">
        <f t="shared" si="0"/>
        <v>3.1597049410966527E-2</v>
      </c>
      <c r="D17" s="108">
        <v>143.77599999999995</v>
      </c>
      <c r="E17" s="111">
        <v>134.91069212320164</v>
      </c>
      <c r="F17" s="106">
        <f t="shared" si="1"/>
        <v>9.4356793882215406E-3</v>
      </c>
      <c r="H17" s="86" t="s">
        <v>33</v>
      </c>
      <c r="I17" s="65">
        <v>7.4999999999999997E-2</v>
      </c>
      <c r="J17" s="88">
        <f>'6) Proyecciones'!L7</f>
        <v>2138.7549489512744</v>
      </c>
      <c r="K17" s="65">
        <f>Base!$AJ24</f>
        <v>0.03</v>
      </c>
    </row>
    <row r="18" spans="1:11" ht="15">
      <c r="A18" s="109">
        <v>44166</v>
      </c>
      <c r="B18" s="110">
        <v>385.88260000000002</v>
      </c>
      <c r="C18" s="106">
        <f t="shared" si="0"/>
        <v>4.0055673383535328E-2</v>
      </c>
      <c r="D18" s="108">
        <v>140.59322580645158</v>
      </c>
      <c r="E18" s="111">
        <v>136.76101561210126</v>
      </c>
      <c r="F18" s="106">
        <f t="shared" si="1"/>
        <v>1.3715173050997898E-2</v>
      </c>
    </row>
    <row r="19" spans="1:11" ht="15">
      <c r="A19" s="109">
        <v>44197</v>
      </c>
      <c r="B19" s="110">
        <v>401.50709999999998</v>
      </c>
      <c r="C19" s="106">
        <f t="shared" si="0"/>
        <v>4.0490294198287202E-2</v>
      </c>
      <c r="D19" s="108">
        <v>145.18354838709675</v>
      </c>
      <c r="E19" s="111">
        <v>139.73714485031496</v>
      </c>
      <c r="F19" s="106">
        <f t="shared" si="1"/>
        <v>2.1761532150762708E-2</v>
      </c>
    </row>
    <row r="20" spans="1:11" ht="15">
      <c r="A20" s="109">
        <v>44228</v>
      </c>
      <c r="B20" s="110">
        <v>415.85950000000003</v>
      </c>
      <c r="C20" s="106">
        <f t="shared" si="0"/>
        <v>3.57463168148211E-2</v>
      </c>
      <c r="D20" s="108">
        <v>145.55500000000001</v>
      </c>
      <c r="E20" s="111">
        <v>137.25834533933255</v>
      </c>
      <c r="F20" s="106">
        <f t="shared" si="1"/>
        <v>-1.7739016448616307E-2</v>
      </c>
    </row>
    <row r="21" spans="1:11" ht="15">
      <c r="A21" s="109">
        <v>44256</v>
      </c>
      <c r="B21" s="110">
        <v>435.8657</v>
      </c>
      <c r="C21" s="106">
        <f t="shared" si="0"/>
        <v>4.8108074962817993E-2</v>
      </c>
      <c r="D21" s="108">
        <v>143.57290322580647</v>
      </c>
      <c r="E21" s="111">
        <v>140.61115548819942</v>
      </c>
      <c r="F21" s="106">
        <f t="shared" si="1"/>
        <v>2.4427003987101736E-2</v>
      </c>
    </row>
    <row r="22" spans="1:11" ht="15">
      <c r="A22" s="109">
        <v>44287</v>
      </c>
      <c r="B22" s="110">
        <v>453.65030000000002</v>
      </c>
      <c r="C22" s="106">
        <f t="shared" si="0"/>
        <v>4.0802935399596674E-2</v>
      </c>
      <c r="D22" s="108">
        <v>145.49033333333333</v>
      </c>
      <c r="E22" s="111">
        <v>139.63371831581736</v>
      </c>
      <c r="F22" s="106">
        <f t="shared" si="1"/>
        <v>-6.9513486962567983E-3</v>
      </c>
    </row>
    <row r="23" spans="1:11" ht="15">
      <c r="A23" s="109">
        <v>44317</v>
      </c>
      <c r="B23" s="110">
        <v>468.72500000000002</v>
      </c>
      <c r="C23" s="106">
        <f t="shared" si="0"/>
        <v>3.3229780736395487E-2</v>
      </c>
      <c r="D23" s="108">
        <v>155.76967741935482</v>
      </c>
      <c r="E23" s="111">
        <v>139.10436667990237</v>
      </c>
      <c r="F23" s="106">
        <f t="shared" si="1"/>
        <v>-3.7910015023572274E-3</v>
      </c>
    </row>
    <row r="24" spans="1:11" ht="15">
      <c r="A24" s="109">
        <v>44348</v>
      </c>
      <c r="B24" s="110">
        <v>483.60489999999999</v>
      </c>
      <c r="C24" s="106">
        <f t="shared" si="0"/>
        <v>3.1745479758920503E-2</v>
      </c>
      <c r="D24" s="108">
        <v>160.68433333333331</v>
      </c>
      <c r="E24" s="111">
        <v>141.74208403641254</v>
      </c>
      <c r="F24" s="106">
        <f t="shared" si="1"/>
        <v>1.8962146332759611E-2</v>
      </c>
    </row>
    <row r="25" spans="1:11" ht="15">
      <c r="A25" s="109">
        <v>44378</v>
      </c>
      <c r="B25" s="110">
        <v>498.09870000000001</v>
      </c>
      <c r="C25" s="106">
        <f t="shared" si="0"/>
        <v>2.9970333220362466E-2</v>
      </c>
      <c r="D25" s="108">
        <v>166.38548387096776</v>
      </c>
      <c r="E25" s="111">
        <v>141.54961083133037</v>
      </c>
      <c r="F25" s="106">
        <f t="shared" si="1"/>
        <v>-1.3579114938984116E-3</v>
      </c>
    </row>
    <row r="26" spans="1:11" ht="15">
      <c r="A26" s="109">
        <v>44409</v>
      </c>
      <c r="B26" s="110">
        <v>510.39420000000001</v>
      </c>
      <c r="C26" s="106">
        <f t="shared" si="0"/>
        <v>2.4684866674014705E-2</v>
      </c>
      <c r="D26" s="108">
        <v>169.62580645161287</v>
      </c>
      <c r="E26" s="111">
        <v>143.43630506072699</v>
      </c>
      <c r="F26" s="106">
        <f t="shared" si="1"/>
        <v>1.3328854938674528E-2</v>
      </c>
    </row>
    <row r="27" spans="1:11" ht="15">
      <c r="A27" s="109">
        <v>44440</v>
      </c>
      <c r="B27" s="110">
        <v>528.49680000000001</v>
      </c>
      <c r="C27" s="106">
        <f t="shared" si="0"/>
        <v>3.5467879533113811E-2</v>
      </c>
      <c r="D27" s="108">
        <v>172.06466666666665</v>
      </c>
      <c r="E27" s="111">
        <v>144.04418120245199</v>
      </c>
      <c r="F27" s="106">
        <f t="shared" si="1"/>
        <v>4.2379517617079365E-3</v>
      </c>
    </row>
    <row r="28" spans="1:11" ht="15">
      <c r="A28" s="109">
        <v>44470</v>
      </c>
      <c r="B28" s="110">
        <v>547.08019999999999</v>
      </c>
      <c r="C28" s="106">
        <f t="shared" si="0"/>
        <v>3.5162748383717801E-2</v>
      </c>
      <c r="D28" s="108">
        <v>177.66645161290322</v>
      </c>
      <c r="E28" s="111">
        <v>143.53112233942721</v>
      </c>
      <c r="F28" s="106">
        <f t="shared" si="1"/>
        <v>-3.5618159563397533E-3</v>
      </c>
    </row>
    <row r="29" spans="1:11" ht="15">
      <c r="A29" s="109">
        <v>44501</v>
      </c>
      <c r="B29" s="110">
        <v>560.91840000000002</v>
      </c>
      <c r="C29" s="106">
        <f t="shared" si="0"/>
        <v>2.5294646013509503E-2</v>
      </c>
      <c r="D29" s="108">
        <v>192.11066666666667</v>
      </c>
      <c r="E29" s="111">
        <v>145.86834099508232</v>
      </c>
      <c r="F29" s="106">
        <f t="shared" si="1"/>
        <v>1.6283706401514664E-2</v>
      </c>
    </row>
    <row r="30" spans="1:11" ht="15">
      <c r="A30" s="109">
        <v>44531</v>
      </c>
      <c r="B30" s="110">
        <v>582.45749999999998</v>
      </c>
      <c r="C30" s="106">
        <f t="shared" si="0"/>
        <v>3.8399703058412671E-2</v>
      </c>
      <c r="D30" s="108">
        <v>198.22870967741935</v>
      </c>
      <c r="E30" s="111">
        <v>149.82457024414865</v>
      </c>
      <c r="F30" s="106">
        <f t="shared" si="1"/>
        <v>2.7121918451103122E-2</v>
      </c>
    </row>
    <row r="31" spans="1:11" ht="15">
      <c r="A31" s="109">
        <v>44562</v>
      </c>
      <c r="B31" s="110">
        <v>605.0317</v>
      </c>
      <c r="C31" s="106">
        <f t="shared" si="0"/>
        <v>3.875681916706375E-2</v>
      </c>
      <c r="D31" s="108">
        <v>207.33129032258066</v>
      </c>
      <c r="E31" s="111">
        <v>148.19263572863355</v>
      </c>
      <c r="F31" s="106">
        <f t="shared" si="1"/>
        <v>-1.089230232968974E-2</v>
      </c>
    </row>
    <row r="32" spans="1:11" ht="15">
      <c r="A32" s="109">
        <v>44593</v>
      </c>
      <c r="B32" s="110">
        <v>633.43409999999994</v>
      </c>
      <c r="C32" s="106">
        <f t="shared" si="0"/>
        <v>4.6943656010089985E-2</v>
      </c>
      <c r="D32" s="108">
        <v>204.22678571428565</v>
      </c>
      <c r="E32" s="111">
        <v>149.89959145225262</v>
      </c>
      <c r="F32" s="106">
        <f t="shared" si="1"/>
        <v>1.1518492232939437E-2</v>
      </c>
    </row>
    <row r="33" spans="1:6" ht="15">
      <c r="A33" s="109">
        <v>44621</v>
      </c>
      <c r="B33" s="110">
        <v>676.0566</v>
      </c>
      <c r="C33" s="106">
        <f t="shared" si="0"/>
        <v>6.7287978339025445E-2</v>
      </c>
      <c r="D33" s="108">
        <v>194.535</v>
      </c>
      <c r="E33" s="111">
        <v>149.58000407995135</v>
      </c>
      <c r="F33" s="106">
        <f t="shared" si="1"/>
        <v>-2.1320096286123746E-3</v>
      </c>
    </row>
    <row r="34" spans="1:6" ht="15">
      <c r="A34" s="109">
        <v>44652</v>
      </c>
      <c r="B34" s="110">
        <v>716.93989999999997</v>
      </c>
      <c r="C34" s="106">
        <f t="shared" si="0"/>
        <v>6.0473191149971628E-2</v>
      </c>
      <c r="D34" s="108">
        <v>196.58380952380952</v>
      </c>
      <c r="E34" s="111">
        <v>150.80113939301847</v>
      </c>
      <c r="F34" s="106">
        <f t="shared" si="1"/>
        <v>8.1637603941662196E-3</v>
      </c>
    </row>
    <row r="35" spans="1:6" ht="15">
      <c r="A35" s="109">
        <v>44682</v>
      </c>
      <c r="B35" s="110">
        <v>753.14700000000005</v>
      </c>
      <c r="C35" s="106">
        <f t="shared" si="0"/>
        <v>5.0502280595626114E-2</v>
      </c>
      <c r="D35" s="108">
        <v>208.69636363636363</v>
      </c>
      <c r="E35" s="111">
        <v>150.93254605552423</v>
      </c>
      <c r="F35" s="106">
        <f t="shared" si="1"/>
        <v>8.713903822921143E-4</v>
      </c>
    </row>
    <row r="36" spans="1:6" ht="15">
      <c r="A36" s="109">
        <v>44713</v>
      </c>
      <c r="B36" s="110">
        <v>793.02779999999996</v>
      </c>
      <c r="C36" s="106">
        <f t="shared" si="0"/>
        <v>5.2952212516281572E-2</v>
      </c>
      <c r="D36" s="108">
        <v>226.80863636363637</v>
      </c>
      <c r="E36" s="111">
        <v>152.48435209856129</v>
      </c>
      <c r="F36" s="106">
        <f t="shared" si="1"/>
        <v>1.0281454090532494E-2</v>
      </c>
    </row>
    <row r="37" spans="1:6" ht="15">
      <c r="A37" s="109">
        <v>44743</v>
      </c>
      <c r="B37" s="110">
        <v>851.76099999999997</v>
      </c>
      <c r="C37" s="106">
        <f t="shared" si="0"/>
        <v>7.4061968571593528E-2</v>
      </c>
      <c r="D37" s="108">
        <v>292.68199999999996</v>
      </c>
      <c r="E37" s="111">
        <v>151.42320142123589</v>
      </c>
      <c r="F37" s="106">
        <f t="shared" si="1"/>
        <v>-6.9590791626901183E-3</v>
      </c>
    </row>
    <row r="38" spans="1:6" ht="15">
      <c r="A38" s="109">
        <v>44774</v>
      </c>
      <c r="B38" s="110">
        <v>911.13160000000005</v>
      </c>
      <c r="C38" s="106">
        <f t="shared" si="0"/>
        <v>6.9703355753550689E-2</v>
      </c>
      <c r="D38" s="108">
        <v>282.46903225806443</v>
      </c>
      <c r="E38" s="111">
        <v>150.86399326531745</v>
      </c>
      <c r="F38" s="106">
        <f t="shared" si="1"/>
        <v>-3.6930150113707594E-3</v>
      </c>
    </row>
    <row r="39" spans="1:6" ht="15">
      <c r="A39" s="109">
        <v>44805</v>
      </c>
      <c r="B39" s="110">
        <v>967.30759999999998</v>
      </c>
      <c r="C39" s="106">
        <f t="shared" si="0"/>
        <v>6.1655198875771644E-2</v>
      </c>
      <c r="D39" s="108">
        <v>286.21136363636356</v>
      </c>
      <c r="E39" s="111">
        <v>149.80678518107388</v>
      </c>
      <c r="F39" s="106">
        <f t="shared" si="1"/>
        <v>-7.0076899156733541E-3</v>
      </c>
    </row>
    <row r="40" spans="1:6" ht="15">
      <c r="A40" s="109">
        <v>44835</v>
      </c>
      <c r="B40" s="110">
        <v>1028.7059999999999</v>
      </c>
      <c r="C40" s="106">
        <f t="shared" si="0"/>
        <v>6.3473501086934503E-2</v>
      </c>
      <c r="D40" s="108">
        <v>294.26428571428573</v>
      </c>
      <c r="E40" s="111">
        <v>147.90387757083866</v>
      </c>
      <c r="F40" s="106">
        <f t="shared" si="1"/>
        <v>-1.2702412697363052E-2</v>
      </c>
    </row>
    <row r="41" spans="1:6" ht="15">
      <c r="A41" s="109">
        <v>44866</v>
      </c>
      <c r="B41" s="110">
        <v>1079.2787000000001</v>
      </c>
      <c r="C41" s="106">
        <f t="shared" si="0"/>
        <v>4.9161470818679165E-2</v>
      </c>
      <c r="D41" s="108">
        <v>304.06181818181818</v>
      </c>
      <c r="E41" s="111">
        <v>147.0521777257245</v>
      </c>
      <c r="F41" s="106">
        <f t="shared" si="1"/>
        <v>-5.7584686696684484E-3</v>
      </c>
    </row>
    <row r="42" spans="1:6" ht="15">
      <c r="A42" s="109">
        <v>44896</v>
      </c>
      <c r="B42" s="110">
        <v>1134.5875000000001</v>
      </c>
      <c r="C42" s="106">
        <f t="shared" si="0"/>
        <v>5.1246077588670946E-2</v>
      </c>
      <c r="D42" s="108">
        <v>325.29318181818178</v>
      </c>
      <c r="E42" s="111">
        <v>147.32275597413269</v>
      </c>
      <c r="F42" s="106">
        <f t="shared" si="1"/>
        <v>1.8400152421602645E-3</v>
      </c>
    </row>
    <row r="43" spans="1:6" ht="15">
      <c r="A43" s="109">
        <v>44927</v>
      </c>
      <c r="B43" s="110">
        <v>1202.979</v>
      </c>
      <c r="C43" s="106">
        <f t="shared" si="0"/>
        <v>6.0278735663842564E-2</v>
      </c>
      <c r="D43" s="108">
        <v>341.09636363636361</v>
      </c>
      <c r="E43" s="111">
        <v>149.48744847363761</v>
      </c>
      <c r="F43" s="106">
        <f t="shared" si="1"/>
        <v>1.4693537907239484E-2</v>
      </c>
    </row>
    <row r="44" spans="1:6" ht="15">
      <c r="A44" s="109">
        <v>44958</v>
      </c>
      <c r="B44" s="110">
        <v>1282.7091</v>
      </c>
      <c r="C44" s="106">
        <f t="shared" si="0"/>
        <v>6.62772168092709E-2</v>
      </c>
      <c r="D44" s="108">
        <v>355.57999999999993</v>
      </c>
      <c r="E44" s="111">
        <v>148.83850293111851</v>
      </c>
      <c r="F44" s="106">
        <f t="shared" si="1"/>
        <v>-4.3411373272154163E-3</v>
      </c>
    </row>
    <row r="45" spans="1:6" ht="15">
      <c r="A45" s="109">
        <v>44986</v>
      </c>
      <c r="B45" s="110">
        <v>1381.1601000000001</v>
      </c>
      <c r="C45" s="106">
        <f t="shared" si="0"/>
        <v>7.675239849783555E-2</v>
      </c>
      <c r="D45" s="108">
        <v>378.94304347826096</v>
      </c>
      <c r="E45" s="111">
        <v>150.46362523755315</v>
      </c>
      <c r="F45" s="106">
        <f t="shared" si="1"/>
        <v>1.0918695595767414E-2</v>
      </c>
    </row>
    <row r="46" spans="1:6" ht="15">
      <c r="A46" s="109">
        <v>45017</v>
      </c>
      <c r="B46" s="110">
        <v>1497.2147</v>
      </c>
      <c r="C46" s="106">
        <f t="shared" si="0"/>
        <v>8.4026898836709663E-2</v>
      </c>
      <c r="D46" s="108">
        <v>411.74600000000009</v>
      </c>
      <c r="E46" s="111">
        <v>147.03962969184821</v>
      </c>
      <c r="F46" s="106">
        <f t="shared" si="1"/>
        <v>-2.275630100164816E-2</v>
      </c>
    </row>
    <row r="47" spans="1:6" ht="15">
      <c r="A47" s="109">
        <v>45047</v>
      </c>
      <c r="B47" s="110">
        <v>1613.5895</v>
      </c>
      <c r="C47" s="106">
        <f t="shared" si="0"/>
        <v>7.7727529658905947E-2</v>
      </c>
      <c r="D47" s="108">
        <v>447.68695652173921</v>
      </c>
      <c r="E47" s="111">
        <v>144.80979789183507</v>
      </c>
      <c r="F47" s="106">
        <f t="shared" si="1"/>
        <v>-1.5164835525539599E-2</v>
      </c>
    </row>
    <row r="48" spans="1:6" ht="15">
      <c r="A48" s="109">
        <v>45078</v>
      </c>
      <c r="B48" s="110">
        <v>1709.6115</v>
      </c>
      <c r="C48" s="106">
        <f t="shared" si="0"/>
        <v>5.9508319805006149E-2</v>
      </c>
      <c r="D48" s="108">
        <v>477.16090909090923</v>
      </c>
      <c r="E48" s="111">
        <v>145.30397213184233</v>
      </c>
      <c r="F48" s="106">
        <f t="shared" si="1"/>
        <v>3.4125746130546641E-3</v>
      </c>
    </row>
    <row r="49" spans="1:7" ht="15">
      <c r="A49" s="109">
        <v>45108</v>
      </c>
      <c r="B49" s="110">
        <v>1818.0838000000001</v>
      </c>
      <c r="C49" s="106">
        <f t="shared" si="0"/>
        <v>6.3448508623157984E-2</v>
      </c>
      <c r="D49" s="108">
        <v>495.30857142857138</v>
      </c>
      <c r="E49" s="111">
        <v>147.33541937008806</v>
      </c>
      <c r="F49" s="106">
        <f t="shared" si="1"/>
        <v>1.3980672437519326E-2</v>
      </c>
    </row>
    <row r="50" spans="1:7" ht="15">
      <c r="A50" s="109">
        <v>45139</v>
      </c>
      <c r="B50" s="110">
        <v>2044.2832000000001</v>
      </c>
      <c r="C50" s="106">
        <f t="shared" si="0"/>
        <v>0.12441637728689958</v>
      </c>
      <c r="D50" s="108">
        <v>605.76</v>
      </c>
      <c r="E50" s="111">
        <v>149.11671829889627</v>
      </c>
      <c r="F50" s="106">
        <f t="shared" si="1"/>
        <v>1.2090093043640948E-2</v>
      </c>
    </row>
    <row r="51" spans="1:7" ht="15">
      <c r="A51" s="109">
        <v>45170</v>
      </c>
      <c r="B51" s="110">
        <v>2304.9241999999999</v>
      </c>
      <c r="C51" s="106">
        <f t="shared" si="0"/>
        <v>0.12749750132466953</v>
      </c>
      <c r="D51" s="108">
        <v>679.92619047619064</v>
      </c>
      <c r="E51" s="111">
        <v>148.79846088759902</v>
      </c>
      <c r="F51" s="106">
        <f t="shared" si="1"/>
        <v>-2.1342839014155679E-3</v>
      </c>
    </row>
    <row r="52" spans="1:7" ht="15">
      <c r="A52" s="109">
        <v>45200</v>
      </c>
      <c r="B52" s="110">
        <v>2496.2730000000001</v>
      </c>
      <c r="C52" s="106">
        <f t="shared" si="0"/>
        <v>8.3017393804100115E-2</v>
      </c>
      <c r="D52" s="108">
        <v>839.73181818181808</v>
      </c>
      <c r="E52" s="111">
        <v>147.65708288437668</v>
      </c>
      <c r="F52" s="106">
        <f t="shared" si="1"/>
        <v>-7.6706304380697032E-3</v>
      </c>
    </row>
    <row r="53" spans="1:7" ht="15">
      <c r="A53" s="109">
        <v>45231</v>
      </c>
      <c r="B53" s="110">
        <v>2816.0628000000002</v>
      </c>
      <c r="C53" s="106">
        <f t="shared" si="0"/>
        <v>0.1281069017691574</v>
      </c>
      <c r="D53" s="108">
        <v>881.70454545454527</v>
      </c>
      <c r="E53" s="111">
        <v>145.58185164980316</v>
      </c>
      <c r="F53" s="106">
        <f t="shared" si="1"/>
        <v>-1.4054396809386693E-2</v>
      </c>
    </row>
    <row r="54" spans="1:7" ht="15">
      <c r="A54" s="109">
        <v>45261</v>
      </c>
      <c r="B54" s="110">
        <v>3533.1922</v>
      </c>
      <c r="C54" s="106">
        <f t="shared" si="0"/>
        <v>0.25465674984236841</v>
      </c>
      <c r="D54" s="108">
        <v>965.58666666666647</v>
      </c>
      <c r="E54" s="111">
        <v>142.89272350369151</v>
      </c>
      <c r="F54" s="106">
        <f t="shared" si="1"/>
        <v>-1.8471589113870701E-2</v>
      </c>
    </row>
    <row r="55" spans="1:7" ht="15">
      <c r="A55" s="109">
        <v>45292</v>
      </c>
      <c r="B55" s="110">
        <v>4261.5324000000001</v>
      </c>
      <c r="C55" s="106">
        <f t="shared" si="0"/>
        <v>0.20614225288961063</v>
      </c>
      <c r="D55" s="108">
        <v>1154.5052173913043</v>
      </c>
      <c r="E55" s="111">
        <v>143.24665177211284</v>
      </c>
      <c r="F55" s="106">
        <f t="shared" si="1"/>
        <v>2.4768809757635957E-3</v>
      </c>
    </row>
    <row r="56" spans="1:7" ht="15">
      <c r="A56" s="109">
        <v>45323</v>
      </c>
      <c r="B56" s="110">
        <v>4825.7880999999998</v>
      </c>
      <c r="C56" s="106">
        <f t="shared" si="0"/>
        <v>0.13240676053524769</v>
      </c>
      <c r="D56" s="108">
        <v>1124.1980952380954</v>
      </c>
      <c r="E56" s="111">
        <v>142.72178162942211</v>
      </c>
      <c r="F56" s="106">
        <f t="shared" si="1"/>
        <v>-3.6641005998920839E-3</v>
      </c>
    </row>
    <row r="57" spans="1:7" ht="15">
      <c r="A57" s="109">
        <v>45352</v>
      </c>
      <c r="B57" s="110">
        <v>5357.0928999999996</v>
      </c>
      <c r="C57" s="106">
        <f t="shared" si="0"/>
        <v>0.11009700156540236</v>
      </c>
      <c r="D57" s="108">
        <v>1019.4885714285715</v>
      </c>
      <c r="E57" s="111">
        <v>141.63783664452265</v>
      </c>
      <c r="F57" s="106">
        <f t="shared" si="1"/>
        <v>-7.5948111950698838E-3</v>
      </c>
      <c r="G57" t="s">
        <v>270</v>
      </c>
    </row>
    <row r="58" spans="1:7" ht="15">
      <c r="A58" s="109">
        <v>45383</v>
      </c>
      <c r="B58" s="110">
        <v>5830.2271000000001</v>
      </c>
      <c r="C58" s="106">
        <f t="shared" si="0"/>
        <v>8.8319207606050831E-2</v>
      </c>
      <c r="D58" s="108">
        <v>1014.2713636363635</v>
      </c>
      <c r="E58" s="111">
        <v>139.89994420355353</v>
      </c>
      <c r="F58" s="106">
        <f t="shared" si="1"/>
        <v>-1.2269973067513096E-2</v>
      </c>
      <c r="G58" s="56">
        <f>E58/$E$57-1</f>
        <v>-1.2269973067513096E-2</v>
      </c>
    </row>
    <row r="59" spans="1:7" ht="15">
      <c r="A59" s="109">
        <v>45413</v>
      </c>
      <c r="B59" s="110">
        <v>6073.7165000000005</v>
      </c>
      <c r="C59" s="106">
        <f t="shared" si="0"/>
        <v>4.176327882665154E-2</v>
      </c>
      <c r="D59" s="108">
        <v>1114.0826086956522</v>
      </c>
      <c r="E59" s="111">
        <v>141.22740793601295</v>
      </c>
      <c r="F59" s="106">
        <f t="shared" si="1"/>
        <v>9.4886652029537721E-3</v>
      </c>
      <c r="G59" s="56">
        <f t="shared" ref="G59:G69" si="2">E59/$E$57-1</f>
        <v>-2.897733531046387E-3</v>
      </c>
    </row>
    <row r="60" spans="1:7" ht="15">
      <c r="A60" s="109">
        <v>45444</v>
      </c>
      <c r="B60" s="110">
        <v>6351.7145</v>
      </c>
      <c r="C60" s="106">
        <f t="shared" si="0"/>
        <v>4.5770657883027477E-2</v>
      </c>
      <c r="D60" s="108">
        <v>1281.3584999999998</v>
      </c>
      <c r="E60" s="111">
        <v>141.59163948607974</v>
      </c>
      <c r="F60" s="106">
        <f t="shared" si="1"/>
        <v>2.5790429449206176E-3</v>
      </c>
      <c r="G60" s="56">
        <f t="shared" si="2"/>
        <v>-3.2616396534534964E-4</v>
      </c>
    </row>
    <row r="61" spans="1:7" ht="15">
      <c r="A61" s="109">
        <v>45474</v>
      </c>
      <c r="B61" s="110">
        <v>6607.7479000000003</v>
      </c>
      <c r="C61" s="106">
        <f t="shared" si="0"/>
        <v>4.0309336951463992E-2</v>
      </c>
      <c r="D61" s="108">
        <v>1349.1143478260872</v>
      </c>
      <c r="E61" s="111">
        <v>145.52644798281696</v>
      </c>
      <c r="F61" s="106">
        <f t="shared" si="1"/>
        <v>2.7789836398667278E-2</v>
      </c>
      <c r="G61" s="56">
        <f t="shared" si="2"/>
        <v>2.7454608390085733E-2</v>
      </c>
    </row>
    <row r="62" spans="1:7" ht="15">
      <c r="A62" s="109">
        <v>45505</v>
      </c>
      <c r="B62" s="110">
        <v>6883.4412000000002</v>
      </c>
      <c r="C62" s="106">
        <f t="shared" si="0"/>
        <v>4.1722732793725292E-2</v>
      </c>
      <c r="D62" s="108">
        <v>1295.3645454545456</v>
      </c>
      <c r="E62" s="111">
        <v>146.9757891886679</v>
      </c>
      <c r="F62" s="106">
        <f t="shared" si="1"/>
        <v>9.9592976118132448E-3</v>
      </c>
      <c r="G62" s="56">
        <f t="shared" si="2"/>
        <v>3.7687334617671819E-2</v>
      </c>
    </row>
    <row r="63" spans="1:7" ht="15">
      <c r="A63" s="109">
        <v>45536</v>
      </c>
      <c r="B63" s="110">
        <v>7122.2421000000004</v>
      </c>
      <c r="C63" s="106">
        <f t="shared" si="0"/>
        <v>3.4692081048066425E-2</v>
      </c>
      <c r="D63" s="108">
        <v>1228.5509523809521</v>
      </c>
      <c r="E63" s="111">
        <v>146.96723797678519</v>
      </c>
      <c r="F63" s="106">
        <f t="shared" si="1"/>
        <v>-5.8181091797004925E-5</v>
      </c>
      <c r="G63" s="56">
        <f t="shared" si="2"/>
        <v>3.7626960835599688E-2</v>
      </c>
    </row>
    <row r="64" spans="1:7" ht="15">
      <c r="A64" s="109">
        <v>45566</v>
      </c>
      <c r="B64" s="110">
        <v>7313.9542000000001</v>
      </c>
      <c r="C64" s="106">
        <f t="shared" si="0"/>
        <v>2.6917380413114644E-2</v>
      </c>
      <c r="D64" s="108">
        <v>1159.8121739130436</v>
      </c>
      <c r="E64" s="111">
        <v>147.57858865905723</v>
      </c>
      <c r="F64" s="106">
        <f t="shared" si="1"/>
        <v>4.1597752716058256E-3</v>
      </c>
      <c r="G64" s="56">
        <f t="shared" si="2"/>
        <v>4.1943255808435165E-2</v>
      </c>
    </row>
    <row r="65" spans="1:7" ht="15">
      <c r="A65" s="109">
        <v>45597</v>
      </c>
      <c r="B65" s="110">
        <v>7491.4314000000004</v>
      </c>
      <c r="C65" s="106">
        <f t="shared" si="0"/>
        <v>2.4265560755083682E-2</v>
      </c>
      <c r="D65" s="108">
        <v>1106.0080952380952</v>
      </c>
      <c r="E65" s="111">
        <v>148.88806826851788</v>
      </c>
      <c r="F65" s="106">
        <f t="shared" si="1"/>
        <v>8.8731002332991249E-3</v>
      </c>
      <c r="G65" s="56">
        <f t="shared" si="2"/>
        <v>5.1188522754633592E-2</v>
      </c>
    </row>
    <row r="66" spans="1:7" ht="15">
      <c r="A66" s="109">
        <v>45627</v>
      </c>
      <c r="B66" s="110">
        <v>7694.0074999999997</v>
      </c>
      <c r="C66" s="106">
        <f t="shared" si="0"/>
        <v>2.7041040514633741E-2</v>
      </c>
      <c r="D66" s="108">
        <v>1111.2663636363641</v>
      </c>
      <c r="E66" s="111">
        <v>150.68166185037302</v>
      </c>
      <c r="F66" s="106">
        <f t="shared" si="1"/>
        <v>1.2046590453577588E-2</v>
      </c>
      <c r="G66" s="56">
        <f t="shared" si="2"/>
        <v>6.385176037775997E-2</v>
      </c>
    </row>
    <row r="67" spans="1:7" ht="15">
      <c r="A67" s="109">
        <v>45658</v>
      </c>
      <c r="B67" s="110">
        <v>7864.1256999999996</v>
      </c>
      <c r="C67" s="106">
        <f t="shared" si="0"/>
        <v>2.2110480136651844E-2</v>
      </c>
      <c r="D67" s="108">
        <v>1164.7291304347825</v>
      </c>
      <c r="E67" s="111">
        <v>151.46935646754545</v>
      </c>
      <c r="F67" s="106">
        <f t="shared" si="1"/>
        <v>5.2275413444444752E-3</v>
      </c>
      <c r="G67" s="56">
        <f t="shared" si="2"/>
        <v>6.9413089439494868E-2</v>
      </c>
    </row>
    <row r="68" spans="1:7" ht="15">
      <c r="A68" s="109">
        <v>45689</v>
      </c>
      <c r="B68" s="110">
        <v>8052.9926999999998</v>
      </c>
      <c r="C68" s="106">
        <f t="shared" si="0"/>
        <v>2.4016274307517849E-2</v>
      </c>
      <c r="D68" s="108">
        <v>1198.356</v>
      </c>
      <c r="E68" s="111">
        <v>152.59215020587951</v>
      </c>
      <c r="F68" s="106">
        <f t="shared" si="1"/>
        <v>7.412679135364364E-3</v>
      </c>
      <c r="G68" s="56">
        <f t="shared" si="2"/>
        <v>7.7340305534668641E-2</v>
      </c>
    </row>
    <row r="69" spans="1:7" ht="15">
      <c r="A69" s="109">
        <v>45717</v>
      </c>
      <c r="B69" s="110">
        <v>8353.3158000000003</v>
      </c>
      <c r="C69" s="106">
        <f t="shared" si="0"/>
        <v>3.7293353066121693E-2</v>
      </c>
      <c r="D69" s="108">
        <v>1262.3323809523813</v>
      </c>
      <c r="E69" s="111">
        <v>149.89801165594932</v>
      </c>
      <c r="F69" s="106">
        <f t="shared" si="1"/>
        <v>-1.7655813528384079E-2</v>
      </c>
      <c r="G69" s="56">
        <f t="shared" si="2"/>
        <v>5.8318985993536021E-2</v>
      </c>
    </row>
    <row r="70" spans="1:7" ht="15">
      <c r="A70" s="109">
        <v>45748</v>
      </c>
      <c r="B70" s="110">
        <v>8585.6077999999998</v>
      </c>
      <c r="C70" s="106">
        <f t="shared" si="0"/>
        <v>2.7808358448509596E-2</v>
      </c>
      <c r="D70" s="108">
        <v>1245.3718181818183</v>
      </c>
      <c r="E70" s="103"/>
      <c r="F70" s="106">
        <f t="shared" si="1"/>
        <v>-1</v>
      </c>
    </row>
    <row r="71" spans="1:7" ht="15">
      <c r="A71" s="109">
        <v>45778</v>
      </c>
      <c r="B71" s="103"/>
      <c r="C71" s="103"/>
      <c r="D71" s="108">
        <v>1159.7590909090907</v>
      </c>
      <c r="E71" s="103"/>
      <c r="F71" s="106" t="e">
        <f t="shared" si="1"/>
        <v>#DIV/0!</v>
      </c>
    </row>
    <row r="72" spans="1:7" ht="15">
      <c r="A72" s="109">
        <v>45809</v>
      </c>
      <c r="B72" s="103"/>
      <c r="C72" s="103"/>
      <c r="D72" s="108">
        <v>1190.29</v>
      </c>
      <c r="E72" s="103"/>
      <c r="F72" s="106" t="e">
        <f t="shared" si="1"/>
        <v>#DIV/0!</v>
      </c>
    </row>
  </sheetData>
  <pageMargins left="0.7" right="0.7" top="0.75" bottom="0.75" header="0.3" footer="0.3"/>
  <drawing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8ECA9-620F-4786-8AF7-6ADFA68956EB}">
  <dimension ref="A1:N135"/>
  <sheetViews>
    <sheetView showGridLines="0" zoomScale="75" zoomScaleNormal="75" workbookViewId="0">
      <pane ySplit="1" topLeftCell="A2" activePane="bottomLeft" state="frozen"/>
      <selection pane="bottomLeft" activeCell="A19" sqref="A19"/>
    </sheetView>
  </sheetViews>
  <sheetFormatPr baseColWidth="10" defaultRowHeight="14.25" outlineLevelRow="2"/>
  <cols>
    <col min="1" max="1" width="34.5" bestFit="1" customWidth="1"/>
    <col min="2" max="2" width="14.875" bestFit="1" customWidth="1"/>
    <col min="3" max="3" width="15.875" bestFit="1" customWidth="1"/>
    <col min="4" max="4" width="15.375" bestFit="1" customWidth="1"/>
    <col min="5" max="5" width="18.125" bestFit="1" customWidth="1"/>
    <col min="6" max="6" width="16.125" customWidth="1"/>
    <col min="8" max="8" width="20.375" bestFit="1" customWidth="1"/>
  </cols>
  <sheetData>
    <row r="1" spans="1:6" ht="20.25">
      <c r="A1" s="27" t="s">
        <v>64</v>
      </c>
      <c r="B1" s="23">
        <v>2020</v>
      </c>
      <c r="C1" s="23">
        <v>2021</v>
      </c>
      <c r="D1" s="23">
        <v>2022</v>
      </c>
      <c r="E1" s="23">
        <v>2023</v>
      </c>
      <c r="F1" s="23">
        <v>2024</v>
      </c>
    </row>
    <row r="2" spans="1:6" ht="15">
      <c r="A2" s="34" t="s">
        <v>94</v>
      </c>
      <c r="B2" s="75">
        <f>'3) Macro'!J7</f>
        <v>122.63622377622364</v>
      </c>
      <c r="C2" s="75">
        <f>'3) Macro'!J8</f>
        <v>164.48068493150674</v>
      </c>
      <c r="D2" s="75">
        <f>'3) Macro'!J9</f>
        <v>250.58223367697596</v>
      </c>
      <c r="E2" s="75">
        <f>'3) Macro'!J10</f>
        <v>573.54615384615374</v>
      </c>
      <c r="F2" s="75">
        <f>'3) Macro'!J11</f>
        <v>1163.4084351145029</v>
      </c>
    </row>
    <row r="5" spans="1:6" ht="18">
      <c r="A5" s="26" t="s">
        <v>95</v>
      </c>
    </row>
    <row r="6" spans="1:6" ht="15">
      <c r="A6" s="19" t="s">
        <v>65</v>
      </c>
      <c r="B6" s="20"/>
      <c r="C6" s="20"/>
      <c r="D6" s="20"/>
      <c r="E6" s="20"/>
      <c r="F6" s="20"/>
    </row>
    <row r="7" spans="1:6">
      <c r="A7" t="s">
        <v>24</v>
      </c>
      <c r="B7" s="68">
        <v>3640221476</v>
      </c>
      <c r="C7" s="68">
        <v>7933240381</v>
      </c>
      <c r="D7" s="68">
        <v>14658891753</v>
      </c>
      <c r="E7" s="68">
        <v>22474661058</v>
      </c>
      <c r="F7" s="68">
        <v>63697863191</v>
      </c>
    </row>
    <row r="8" spans="1:6">
      <c r="A8" t="s">
        <v>25</v>
      </c>
      <c r="B8" s="68">
        <f>-2236831045</f>
        <v>-2236831045</v>
      </c>
      <c r="C8" s="68">
        <f>-4721883737</f>
        <v>-4721883737</v>
      </c>
      <c r="D8" s="68">
        <f>-8678223967</f>
        <v>-8678223967</v>
      </c>
      <c r="E8" s="68">
        <f>-15735402981</f>
        <v>-15735402981</v>
      </c>
      <c r="F8" s="68">
        <f>-44705660747</f>
        <v>-44705660747</v>
      </c>
    </row>
    <row r="9" spans="1:6" ht="15">
      <c r="A9" s="18" t="s">
        <v>26</v>
      </c>
      <c r="B9" s="72">
        <f t="shared" ref="B9:E9" si="0">B7+B8</f>
        <v>1403390431</v>
      </c>
      <c r="C9" s="72">
        <f t="shared" si="0"/>
        <v>3211356644</v>
      </c>
      <c r="D9" s="72">
        <f t="shared" si="0"/>
        <v>5980667786</v>
      </c>
      <c r="E9" s="72">
        <f t="shared" si="0"/>
        <v>6739258077</v>
      </c>
      <c r="F9" s="72">
        <f>F7+F8</f>
        <v>18992202444</v>
      </c>
    </row>
    <row r="10" spans="1:6">
      <c r="A10" s="18" t="s">
        <v>27</v>
      </c>
      <c r="B10" s="69">
        <f t="shared" ref="B10:C10" si="1">-SUM(B11:B12)</f>
        <v>-386635412</v>
      </c>
      <c r="C10" s="69">
        <f t="shared" si="1"/>
        <v>-754386815</v>
      </c>
      <c r="D10" s="69">
        <f>-SUM(D11:D12)</f>
        <v>-1621608974</v>
      </c>
      <c r="E10" s="69">
        <f>-SUM(E11:E12)</f>
        <v>-4189118364</v>
      </c>
      <c r="F10" s="69">
        <f>-SUM(F11:F12)</f>
        <v>-9936762045</v>
      </c>
    </row>
    <row r="11" spans="1:6" outlineLevel="1">
      <c r="A11" t="s">
        <v>160</v>
      </c>
      <c r="B11" s="68">
        <f>183116829</f>
        <v>183116829</v>
      </c>
      <c r="C11" s="68">
        <v>358109025</v>
      </c>
      <c r="D11" s="68">
        <f>796614304</f>
        <v>796614304</v>
      </c>
      <c r="E11" s="68">
        <f>1824457306</f>
        <v>1824457306</v>
      </c>
      <c r="F11" s="68">
        <v>4852573989</v>
      </c>
    </row>
    <row r="12" spans="1:6" outlineLevel="1">
      <c r="A12" t="s">
        <v>161</v>
      </c>
      <c r="B12" s="68">
        <v>203518583</v>
      </c>
      <c r="C12" s="68">
        <v>396277790</v>
      </c>
      <c r="D12" s="68">
        <f>824994670</f>
        <v>824994670</v>
      </c>
      <c r="E12" s="68">
        <f>2364661058</f>
        <v>2364661058</v>
      </c>
      <c r="F12" s="68">
        <v>5084188056</v>
      </c>
    </row>
    <row r="13" spans="1:6">
      <c r="A13" t="s">
        <v>70</v>
      </c>
      <c r="B13" s="68">
        <f t="shared" ref="B13" si="2">SUM(B14:B15)</f>
        <v>-183984112</v>
      </c>
      <c r="C13" s="68">
        <f t="shared" ref="C13" si="3">SUM(C14:C15)</f>
        <v>-516085800</v>
      </c>
      <c r="D13" s="68">
        <f t="shared" ref="D13:E13" si="4">SUM(D14:D15)</f>
        <v>-2491222223</v>
      </c>
      <c r="E13" s="68">
        <f t="shared" si="4"/>
        <v>-4189674224</v>
      </c>
      <c r="F13" s="68">
        <f>SUM(F14:F15)</f>
        <v>-3049579706</v>
      </c>
    </row>
    <row r="14" spans="1:6" outlineLevel="1">
      <c r="A14" t="s">
        <v>164</v>
      </c>
      <c r="B14" s="68">
        <f>-110905318</f>
        <v>-110905318</v>
      </c>
      <c r="C14" s="68">
        <f>-524480520</f>
        <v>-524480520</v>
      </c>
      <c r="D14" s="68">
        <f>-2505563439</f>
        <v>-2505563439</v>
      </c>
      <c r="E14" s="68">
        <f>-4282932805</f>
        <v>-4282932805</v>
      </c>
      <c r="F14" s="68">
        <f>-3060635304</f>
        <v>-3060635304</v>
      </c>
    </row>
    <row r="15" spans="1:6" outlineLevel="1">
      <c r="A15" t="s">
        <v>165</v>
      </c>
      <c r="B15" s="68">
        <f>-73078794</f>
        <v>-73078794</v>
      </c>
      <c r="C15" s="68">
        <v>8394720</v>
      </c>
      <c r="D15" s="68">
        <f>14341216</f>
        <v>14341216</v>
      </c>
      <c r="E15" s="68">
        <v>93258581</v>
      </c>
      <c r="F15" s="68">
        <v>11055598</v>
      </c>
    </row>
    <row r="16" spans="1:6">
      <c r="A16" s="18" t="s">
        <v>28</v>
      </c>
      <c r="B16" s="69">
        <f>B9+B10+B13</f>
        <v>832770907</v>
      </c>
      <c r="C16" s="69">
        <f>C9+C10+C13</f>
        <v>1940884029</v>
      </c>
      <c r="D16" s="69">
        <f>D9+D10+D13</f>
        <v>1867836589</v>
      </c>
      <c r="E16" s="69">
        <f>E9+E10+E13</f>
        <v>-1639534511</v>
      </c>
      <c r="F16" s="69">
        <f>F9+F10+F13</f>
        <v>6005860693</v>
      </c>
    </row>
    <row r="17" spans="1:7">
      <c r="A17" t="s">
        <v>66</v>
      </c>
      <c r="B17" s="68">
        <f t="shared" ref="B17:D17" si="5">SUM(B18:B19)</f>
        <v>-387280955</v>
      </c>
      <c r="C17" s="68">
        <f t="shared" si="5"/>
        <v>-201465816</v>
      </c>
      <c r="D17" s="68">
        <f t="shared" si="5"/>
        <v>-496556473</v>
      </c>
      <c r="E17" s="68">
        <f>SUM(E18:E19)</f>
        <v>-2213503083</v>
      </c>
      <c r="F17" s="68">
        <f>SUM(F18:F19)</f>
        <v>-295881714</v>
      </c>
    </row>
    <row r="18" spans="1:7" outlineLevel="1">
      <c r="A18" t="s">
        <v>162</v>
      </c>
      <c r="B18" s="68">
        <v>85862010</v>
      </c>
      <c r="C18" s="68">
        <v>300420734</v>
      </c>
      <c r="D18" s="68">
        <f>725355208</f>
        <v>725355208</v>
      </c>
      <c r="E18" s="68">
        <v>2567148681</v>
      </c>
      <c r="F18" s="68">
        <v>2678678603</v>
      </c>
    </row>
    <row r="19" spans="1:7" outlineLevel="1">
      <c r="A19" t="s">
        <v>163</v>
      </c>
      <c r="B19" s="68">
        <f>-473142965</f>
        <v>-473142965</v>
      </c>
      <c r="C19" s="68">
        <f>-501886550</f>
        <v>-501886550</v>
      </c>
      <c r="D19" s="68">
        <f>-1221911681</f>
        <v>-1221911681</v>
      </c>
      <c r="E19" s="68">
        <f>-4780651764</f>
        <v>-4780651764</v>
      </c>
      <c r="F19" s="68">
        <f>-2974560317</f>
        <v>-2974560317</v>
      </c>
    </row>
    <row r="20" spans="1:7">
      <c r="A20" s="18" t="s">
        <v>67</v>
      </c>
      <c r="B20" s="69">
        <f t="shared" ref="B20:D20" si="6">B16+B17</f>
        <v>445489952</v>
      </c>
      <c r="C20" s="69">
        <f t="shared" si="6"/>
        <v>1739418213</v>
      </c>
      <c r="D20" s="69">
        <f t="shared" si="6"/>
        <v>1371280116</v>
      </c>
      <c r="E20" s="69">
        <f>E16+E17</f>
        <v>-3853037594</v>
      </c>
      <c r="F20" s="69">
        <f>F16+F17</f>
        <v>5709978979</v>
      </c>
    </row>
    <row r="21" spans="1:7">
      <c r="A21" t="s">
        <v>68</v>
      </c>
      <c r="B21" s="68">
        <f>-143150963</f>
        <v>-143150963</v>
      </c>
      <c r="C21" s="68">
        <f>-619392065</f>
        <v>-619392065</v>
      </c>
      <c r="D21" s="68">
        <f>-535054471</f>
        <v>-535054471</v>
      </c>
      <c r="E21" s="68">
        <v>615553017</v>
      </c>
      <c r="F21" s="68">
        <f>-3125369576</f>
        <v>-3125369576</v>
      </c>
    </row>
    <row r="22" spans="1:7" ht="15.75" thickBot="1">
      <c r="A22" s="22" t="s">
        <v>69</v>
      </c>
      <c r="B22" s="79">
        <f t="shared" ref="B22:D22" si="7">B20+B21</f>
        <v>302338989</v>
      </c>
      <c r="C22" s="79">
        <f t="shared" si="7"/>
        <v>1120026148</v>
      </c>
      <c r="D22" s="79">
        <f t="shared" si="7"/>
        <v>836225645</v>
      </c>
      <c r="E22" s="79">
        <f>E20+E21</f>
        <v>-3237484577</v>
      </c>
      <c r="F22" s="79">
        <f>F20+F21</f>
        <v>2584609403</v>
      </c>
    </row>
    <row r="24" spans="1:7">
      <c r="B24" s="56">
        <f>B21/B20</f>
        <v>-0.32133376377476636</v>
      </c>
      <c r="C24" s="56">
        <f t="shared" ref="C24:F24" si="8">C21/C20</f>
        <v>-0.35609151403084682</v>
      </c>
      <c r="D24" s="56">
        <f t="shared" si="8"/>
        <v>-0.3901861222641691</v>
      </c>
      <c r="E24" s="56">
        <f t="shared" si="8"/>
        <v>-0.15975785389650679</v>
      </c>
      <c r="F24" s="56">
        <f t="shared" si="8"/>
        <v>-0.54735220348347979</v>
      </c>
      <c r="G24" s="67">
        <f>AVERAGE(B24:F24)</f>
        <v>-0.35494429148995377</v>
      </c>
    </row>
    <row r="25" spans="1:7" ht="15">
      <c r="A25" s="19" t="s">
        <v>71</v>
      </c>
      <c r="B25" s="21"/>
      <c r="C25" s="21"/>
      <c r="D25" s="21"/>
      <c r="E25" s="21"/>
      <c r="F25" s="21"/>
    </row>
    <row r="26" spans="1:7">
      <c r="A26" t="s">
        <v>72</v>
      </c>
      <c r="B26" s="68">
        <v>588858045</v>
      </c>
      <c r="C26" s="68">
        <v>1186625716</v>
      </c>
      <c r="D26" s="68">
        <v>1275948509</v>
      </c>
      <c r="E26" s="68">
        <v>2458458439</v>
      </c>
      <c r="F26" s="68">
        <v>7394531088</v>
      </c>
    </row>
    <row r="27" spans="1:7">
      <c r="A27" t="s">
        <v>73</v>
      </c>
      <c r="B27" s="68">
        <v>343644441</v>
      </c>
      <c r="C27" s="68">
        <v>1013004174</v>
      </c>
      <c r="D27" s="68">
        <v>1459736354</v>
      </c>
      <c r="E27" s="68">
        <v>3182055900</v>
      </c>
      <c r="F27" s="68">
        <v>12851298972</v>
      </c>
    </row>
    <row r="28" spans="1:7">
      <c r="A28" t="s">
        <v>74</v>
      </c>
      <c r="B28" s="68">
        <v>443240255</v>
      </c>
      <c r="C28" s="68">
        <v>1119818347</v>
      </c>
      <c r="D28" s="68">
        <v>1890044461</v>
      </c>
      <c r="E28" s="68">
        <v>4084702777</v>
      </c>
      <c r="F28" s="68">
        <v>8678279963</v>
      </c>
    </row>
    <row r="29" spans="1:7">
      <c r="A29" t="s">
        <v>75</v>
      </c>
      <c r="B29" s="68">
        <v>644764271</v>
      </c>
      <c r="C29" s="68">
        <v>1507979735</v>
      </c>
      <c r="D29" s="68">
        <v>1839629040</v>
      </c>
      <c r="E29" s="68">
        <v>2447289605</v>
      </c>
      <c r="F29" s="68">
        <v>3892334361</v>
      </c>
    </row>
    <row r="30" spans="1:7">
      <c r="A30" s="18" t="s">
        <v>76</v>
      </c>
      <c r="B30" s="69">
        <f t="shared" ref="B30:D30" si="9">SUM(B26:B29)</f>
        <v>2020507012</v>
      </c>
      <c r="C30" s="69">
        <f t="shared" si="9"/>
        <v>4827427972</v>
      </c>
      <c r="D30" s="69">
        <f t="shared" si="9"/>
        <v>6465358364</v>
      </c>
      <c r="E30" s="69">
        <f>SUM(E26:E29)</f>
        <v>12172506721</v>
      </c>
      <c r="F30" s="69">
        <f>SUM(F26:F29)</f>
        <v>32816444384</v>
      </c>
    </row>
    <row r="31" spans="1:7">
      <c r="A31" t="s">
        <v>77</v>
      </c>
      <c r="B31" s="68">
        <v>757842389</v>
      </c>
      <c r="C31" s="68">
        <v>1203471344</v>
      </c>
      <c r="D31" s="68">
        <v>2684795381</v>
      </c>
      <c r="E31" s="68">
        <v>8428778720</v>
      </c>
      <c r="F31" s="68">
        <v>18385420430</v>
      </c>
    </row>
    <row r="32" spans="1:7">
      <c r="A32" t="s">
        <v>78</v>
      </c>
      <c r="B32" s="68">
        <f t="shared" ref="B32:E32" si="10">SUM(B33:B35)</f>
        <v>8497777</v>
      </c>
      <c r="C32" s="68">
        <f t="shared" si="10"/>
        <v>12538187</v>
      </c>
      <c r="D32" s="68">
        <f t="shared" si="10"/>
        <v>23869289</v>
      </c>
      <c r="E32" s="68">
        <f t="shared" si="10"/>
        <v>592415966</v>
      </c>
      <c r="F32" s="68">
        <f>SUM(F33:F35)</f>
        <v>3261326089</v>
      </c>
    </row>
    <row r="33" spans="1:6" outlineLevel="1">
      <c r="A33" t="s">
        <v>166</v>
      </c>
      <c r="B33" s="68">
        <v>8497777</v>
      </c>
      <c r="C33" s="68">
        <v>12538187</v>
      </c>
      <c r="D33" s="68">
        <v>23869289</v>
      </c>
      <c r="E33" s="68">
        <v>72600386</v>
      </c>
      <c r="F33" s="68">
        <v>154358791</v>
      </c>
    </row>
    <row r="34" spans="1:6" outlineLevel="1">
      <c r="A34" t="s">
        <v>167</v>
      </c>
      <c r="B34" s="68"/>
      <c r="C34" s="68">
        <v>0</v>
      </c>
      <c r="D34" s="68">
        <v>0</v>
      </c>
      <c r="E34" s="68">
        <v>519815580</v>
      </c>
      <c r="F34" s="68">
        <v>31162108</v>
      </c>
    </row>
    <row r="35" spans="1:6" outlineLevel="1">
      <c r="A35" t="s">
        <v>168</v>
      </c>
      <c r="B35" s="68"/>
      <c r="C35" s="68">
        <v>0</v>
      </c>
      <c r="D35" s="68">
        <v>0</v>
      </c>
      <c r="E35" s="68">
        <v>0</v>
      </c>
      <c r="F35" s="68">
        <v>3075805190</v>
      </c>
    </row>
    <row r="36" spans="1:6">
      <c r="A36" s="18" t="s">
        <v>84</v>
      </c>
      <c r="B36" s="69">
        <f>SUM(B31:B32)</f>
        <v>766340166</v>
      </c>
      <c r="C36" s="69">
        <f>SUM(C31:C32)</f>
        <v>1216009531</v>
      </c>
      <c r="D36" s="69">
        <f>SUM(D31:D32)</f>
        <v>2708664670</v>
      </c>
      <c r="E36" s="69">
        <f t="shared" ref="E36" si="11">SUM(E31:E32)</f>
        <v>9021194686</v>
      </c>
      <c r="F36" s="69">
        <f>SUM(F31:F32)</f>
        <v>21646746519</v>
      </c>
    </row>
    <row r="37" spans="1:6" ht="15.75" thickBot="1">
      <c r="A37" s="22" t="s">
        <v>79</v>
      </c>
      <c r="B37" s="79">
        <f t="shared" ref="B37:E37" si="12">B30+B36</f>
        <v>2786847178</v>
      </c>
      <c r="C37" s="79">
        <f t="shared" si="12"/>
        <v>6043437503</v>
      </c>
      <c r="D37" s="79">
        <f t="shared" si="12"/>
        <v>9174023034</v>
      </c>
      <c r="E37" s="79">
        <f t="shared" si="12"/>
        <v>21193701407</v>
      </c>
      <c r="F37" s="79">
        <f>F30+F36</f>
        <v>54463190903</v>
      </c>
    </row>
    <row r="38" spans="1:6">
      <c r="A38" t="s">
        <v>80</v>
      </c>
      <c r="B38" s="68">
        <v>378394206</v>
      </c>
      <c r="C38" s="68">
        <v>421151305</v>
      </c>
      <c r="D38" s="68">
        <v>914425611</v>
      </c>
      <c r="E38" s="68">
        <v>663133450</v>
      </c>
      <c r="F38" s="68">
        <v>5442752288</v>
      </c>
    </row>
    <row r="39" spans="1:6">
      <c r="A39" t="s">
        <v>81</v>
      </c>
      <c r="B39" s="68">
        <v>293554093</v>
      </c>
      <c r="C39" s="68">
        <v>482245050</v>
      </c>
      <c r="D39" s="68">
        <v>1031754217</v>
      </c>
      <c r="E39" s="68">
        <v>3665556676</v>
      </c>
      <c r="F39" s="68">
        <v>6886952651</v>
      </c>
    </row>
    <row r="40" spans="1:6">
      <c r="A40" t="s">
        <v>169</v>
      </c>
      <c r="B40" s="68">
        <v>74744081</v>
      </c>
      <c r="C40" s="68">
        <v>179220183</v>
      </c>
      <c r="D40" s="68">
        <v>296617720</v>
      </c>
      <c r="E40" s="68">
        <v>581546869</v>
      </c>
      <c r="F40" s="68">
        <v>1280599720</v>
      </c>
    </row>
    <row r="41" spans="1:6">
      <c r="A41" t="s">
        <v>170</v>
      </c>
      <c r="B41" s="68">
        <v>127303502</v>
      </c>
      <c r="C41" s="68">
        <v>635763012</v>
      </c>
      <c r="D41" s="68">
        <v>113803295</v>
      </c>
      <c r="E41" s="68">
        <v>88779717</v>
      </c>
      <c r="F41" s="68">
        <v>2924936225</v>
      </c>
    </row>
    <row r="42" spans="1:6">
      <c r="A42" t="s">
        <v>171</v>
      </c>
      <c r="B42" s="68">
        <v>514650909</v>
      </c>
      <c r="C42" s="68">
        <v>1204710440</v>
      </c>
      <c r="D42" s="68">
        <v>675522485</v>
      </c>
      <c r="E42" s="68">
        <v>950830550</v>
      </c>
      <c r="F42" s="68">
        <v>3092212223</v>
      </c>
    </row>
    <row r="43" spans="1:6">
      <c r="A43" t="s">
        <v>78</v>
      </c>
      <c r="B43" s="68">
        <v>36471143</v>
      </c>
      <c r="C43" s="68">
        <v>97000000</v>
      </c>
      <c r="D43" s="68">
        <v>216684944</v>
      </c>
      <c r="E43" s="68">
        <v>681524392</v>
      </c>
      <c r="F43" s="68">
        <v>1386572832</v>
      </c>
    </row>
    <row r="44" spans="1:6">
      <c r="A44" s="18" t="s">
        <v>82</v>
      </c>
      <c r="B44" s="69">
        <f t="shared" ref="B44:E44" si="13">SUM(B38:B43)</f>
        <v>1425117934</v>
      </c>
      <c r="C44" s="69">
        <f t="shared" si="13"/>
        <v>3020089990</v>
      </c>
      <c r="D44" s="69">
        <f t="shared" si="13"/>
        <v>3248808272</v>
      </c>
      <c r="E44" s="69">
        <f t="shared" si="13"/>
        <v>6631371654</v>
      </c>
      <c r="F44" s="69">
        <f>SUM(F38:F43)</f>
        <v>21014025939</v>
      </c>
    </row>
    <row r="45" spans="1:6">
      <c r="A45" t="s">
        <v>81</v>
      </c>
      <c r="B45" s="68">
        <v>85161167</v>
      </c>
      <c r="C45" s="68">
        <v>83869806</v>
      </c>
      <c r="D45" s="68">
        <v>269771457</v>
      </c>
      <c r="E45" s="68">
        <v>853382678</v>
      </c>
      <c r="F45" s="68">
        <v>1218164492</v>
      </c>
    </row>
    <row r="46" spans="1:6">
      <c r="A46" t="s">
        <v>170</v>
      </c>
      <c r="B46" s="68">
        <v>47897880</v>
      </c>
      <c r="C46" s="68">
        <v>37313435</v>
      </c>
      <c r="D46" s="68">
        <v>22766168</v>
      </c>
      <c r="E46" s="68">
        <v>10909775</v>
      </c>
      <c r="F46" s="68">
        <v>29410</v>
      </c>
    </row>
    <row r="47" spans="1:6">
      <c r="A47" t="s">
        <v>172</v>
      </c>
      <c r="B47" s="68">
        <v>22498759</v>
      </c>
      <c r="C47" s="68">
        <v>16095197</v>
      </c>
      <c r="D47" s="68">
        <v>9826826</v>
      </c>
      <c r="E47" s="68">
        <v>3733110</v>
      </c>
      <c r="F47" s="68">
        <v>0</v>
      </c>
    </row>
    <row r="48" spans="1:6">
      <c r="A48" t="s">
        <v>78</v>
      </c>
      <c r="B48" s="68">
        <f>SUM(B49:B50)</f>
        <v>65123505</v>
      </c>
      <c r="C48" s="68">
        <f>SUM(C49:C50)</f>
        <v>60793535</v>
      </c>
      <c r="D48" s="68">
        <f>D50</f>
        <v>151787104</v>
      </c>
      <c r="E48" s="68">
        <f>E50</f>
        <v>0</v>
      </c>
      <c r="F48" s="68">
        <v>500</v>
      </c>
    </row>
    <row r="49" spans="1:6" outlineLevel="1">
      <c r="A49" t="s">
        <v>189</v>
      </c>
      <c r="B49" s="68">
        <v>500</v>
      </c>
      <c r="C49" s="68">
        <v>500</v>
      </c>
      <c r="D49" s="68"/>
      <c r="E49" s="68">
        <v>500</v>
      </c>
      <c r="F49" s="68"/>
    </row>
    <row r="50" spans="1:6" outlineLevel="2">
      <c r="A50" t="s">
        <v>188</v>
      </c>
      <c r="B50" s="68">
        <v>65123005</v>
      </c>
      <c r="C50" s="68">
        <v>60793035</v>
      </c>
      <c r="D50" s="68">
        <v>151787104</v>
      </c>
      <c r="E50" s="68"/>
      <c r="F50" s="68"/>
    </row>
    <row r="51" spans="1:6">
      <c r="A51" s="18" t="s">
        <v>83</v>
      </c>
      <c r="B51" s="69">
        <f>SUM(B45:B48)</f>
        <v>220681311</v>
      </c>
      <c r="C51" s="69">
        <f>SUM(C45:C48)</f>
        <v>198071973</v>
      </c>
      <c r="D51" s="69">
        <f>SUM(D45:D48)</f>
        <v>454151555</v>
      </c>
      <c r="E51" s="69">
        <f>SUM(E45:E49)</f>
        <v>868026063</v>
      </c>
      <c r="F51" s="69">
        <f>SUM(F45:F48)</f>
        <v>1218194402</v>
      </c>
    </row>
    <row r="52" spans="1:6" ht="15.75" thickBot="1">
      <c r="A52" s="22" t="s">
        <v>85</v>
      </c>
      <c r="B52" s="79">
        <f t="shared" ref="B52:E52" si="14">B44+B51</f>
        <v>1645799245</v>
      </c>
      <c r="C52" s="79">
        <f t="shared" si="14"/>
        <v>3218161963</v>
      </c>
      <c r="D52" s="79">
        <f t="shared" si="14"/>
        <v>3702959827</v>
      </c>
      <c r="E52" s="79">
        <f t="shared" si="14"/>
        <v>7499397717</v>
      </c>
      <c r="F52" s="79">
        <f>F44+F51</f>
        <v>22232220341</v>
      </c>
    </row>
    <row r="53" spans="1:6" ht="15.75" thickBot="1">
      <c r="A53" s="22" t="s">
        <v>195</v>
      </c>
      <c r="B53" s="79">
        <f>B37-B52</f>
        <v>1141047933</v>
      </c>
      <c r="C53" s="79">
        <f t="shared" ref="C53:F53" si="15">C37-C52</f>
        <v>2825275540</v>
      </c>
      <c r="D53" s="79">
        <f t="shared" si="15"/>
        <v>5471063207</v>
      </c>
      <c r="E53" s="79">
        <f t="shared" si="15"/>
        <v>13694303690</v>
      </c>
      <c r="F53" s="79">
        <f t="shared" si="15"/>
        <v>32230970562</v>
      </c>
    </row>
    <row r="55" spans="1:6">
      <c r="D55" s="98"/>
      <c r="E55" s="98"/>
    </row>
    <row r="56" spans="1:6" ht="15">
      <c r="A56" s="19" t="s">
        <v>86</v>
      </c>
      <c r="B56" s="21"/>
      <c r="C56" s="21"/>
      <c r="D56" s="21"/>
      <c r="E56" s="21"/>
      <c r="F56" s="21"/>
    </row>
    <row r="57" spans="1:6">
      <c r="A57" t="s">
        <v>190</v>
      </c>
      <c r="B57" s="68">
        <v>280568734</v>
      </c>
      <c r="C57" s="68">
        <v>1103434209</v>
      </c>
      <c r="D57" s="73">
        <v>806426455</v>
      </c>
      <c r="E57" s="68">
        <f>-3342587137</f>
        <v>-3342587137</v>
      </c>
      <c r="F57" s="73">
        <v>2404777126</v>
      </c>
    </row>
    <row r="58" spans="1:6">
      <c r="A58" t="s">
        <v>173</v>
      </c>
      <c r="B58" s="68">
        <v>143150963</v>
      </c>
      <c r="C58" s="68">
        <v>619392065</v>
      </c>
      <c r="D58" s="68">
        <v>535054471</v>
      </c>
      <c r="E58" s="68">
        <f>-615553017</f>
        <v>-615553017</v>
      </c>
      <c r="F58" s="68">
        <f>3125369576</f>
        <v>3125369576</v>
      </c>
    </row>
    <row r="59" spans="1:6">
      <c r="A59" s="71" t="s">
        <v>174</v>
      </c>
      <c r="B59" s="74">
        <f t="shared" ref="B59:E59" si="16">B58+B60+B63+B64+B65+B66</f>
        <v>363314444</v>
      </c>
      <c r="C59" s="74">
        <f t="shared" si="16"/>
        <v>1027954489</v>
      </c>
      <c r="D59" s="74">
        <f t="shared" si="16"/>
        <v>1418497232</v>
      </c>
      <c r="E59" s="74">
        <f t="shared" si="16"/>
        <v>2827710262</v>
      </c>
      <c r="F59" s="74">
        <f>F58+F60+F63+F64+F65+F66</f>
        <v>8307137141</v>
      </c>
    </row>
    <row r="60" spans="1:6">
      <c r="A60" t="s">
        <v>37</v>
      </c>
      <c r="B60" s="73">
        <f t="shared" ref="B60:E60" si="17">B61+B62</f>
        <v>53264938</v>
      </c>
      <c r="C60" s="73">
        <f t="shared" si="17"/>
        <v>99225981</v>
      </c>
      <c r="D60" s="73">
        <f t="shared" si="17"/>
        <v>222987557</v>
      </c>
      <c r="E60" s="73">
        <f t="shared" si="17"/>
        <v>745065494</v>
      </c>
      <c r="F60" s="73">
        <f>F61+F62</f>
        <v>1531948674</v>
      </c>
    </row>
    <row r="61" spans="1:6" hidden="1" outlineLevel="2">
      <c r="A61" t="s">
        <v>175</v>
      </c>
      <c r="B61" s="68">
        <v>53076099</v>
      </c>
      <c r="C61" s="68">
        <v>98941022</v>
      </c>
      <c r="D61" s="68">
        <v>222432457</v>
      </c>
      <c r="E61" s="68">
        <v>743336913</v>
      </c>
      <c r="F61" s="73">
        <v>1528183825</v>
      </c>
    </row>
    <row r="62" spans="1:6" hidden="1" outlineLevel="2">
      <c r="A62" t="s">
        <v>176</v>
      </c>
      <c r="B62" s="68">
        <v>188839</v>
      </c>
      <c r="C62" s="68">
        <v>284959</v>
      </c>
      <c r="D62" s="68">
        <v>555100</v>
      </c>
      <c r="E62" s="68">
        <v>1728581</v>
      </c>
      <c r="F62" s="73">
        <v>3764849</v>
      </c>
    </row>
    <row r="63" spans="1:6" hidden="1" outlineLevel="1" collapsed="1">
      <c r="A63" t="s">
        <v>177</v>
      </c>
      <c r="B63" s="68">
        <v>83737797</v>
      </c>
      <c r="C63" s="68">
        <v>166905365</v>
      </c>
      <c r="D63" s="68">
        <v>321961471</v>
      </c>
      <c r="E63" s="68">
        <v>1078883106</v>
      </c>
      <c r="F63" s="73">
        <v>2151071359</v>
      </c>
    </row>
    <row r="64" spans="1:6" hidden="1" outlineLevel="1">
      <c r="A64" t="s">
        <v>178</v>
      </c>
      <c r="B64" s="68">
        <v>35000000</v>
      </c>
      <c r="C64" s="68">
        <v>97000000</v>
      </c>
      <c r="D64" s="68">
        <v>200000000</v>
      </c>
      <c r="E64" s="68">
        <v>600000000</v>
      </c>
      <c r="F64" s="73">
        <v>1200000000</v>
      </c>
    </row>
    <row r="65" spans="1:6" hidden="1" outlineLevel="1">
      <c r="A65" t="s">
        <v>179</v>
      </c>
      <c r="B65" s="68">
        <f>-3831345</f>
        <v>-3831345</v>
      </c>
      <c r="C65" s="68">
        <f>-880012</f>
        <v>-880012</v>
      </c>
      <c r="D65" s="68">
        <v>1569729</v>
      </c>
      <c r="E65" s="68">
        <v>6478021</v>
      </c>
      <c r="F65" s="73">
        <v>41884111</v>
      </c>
    </row>
    <row r="66" spans="1:6" hidden="1" outlineLevel="1">
      <c r="A66" t="s">
        <v>180</v>
      </c>
      <c r="B66" s="68">
        <v>51992091</v>
      </c>
      <c r="C66" s="68">
        <v>46311090</v>
      </c>
      <c r="D66" s="68">
        <v>136924004</v>
      </c>
      <c r="E66" s="68">
        <v>1012836658</v>
      </c>
      <c r="F66" s="73">
        <v>256863421</v>
      </c>
    </row>
    <row r="67" spans="1:6" collapsed="1">
      <c r="A67" s="71" t="s">
        <v>87</v>
      </c>
      <c r="B67" s="74">
        <f t="shared" ref="B67:E67" si="18">SUM(B68:B75)</f>
        <v>86965203</v>
      </c>
      <c r="C67" s="74">
        <f t="shared" si="18"/>
        <v>-1622844010</v>
      </c>
      <c r="D67" s="74">
        <f t="shared" si="18"/>
        <v>-1920466344</v>
      </c>
      <c r="E67" s="74">
        <f t="shared" si="18"/>
        <v>358542729</v>
      </c>
      <c r="F67" s="74">
        <f>SUM(F68:F75)</f>
        <v>-5122185265</v>
      </c>
    </row>
    <row r="68" spans="1:6" outlineLevel="1">
      <c r="A68" t="s">
        <v>181</v>
      </c>
      <c r="B68" s="68">
        <v>20585622</v>
      </c>
      <c r="C68" s="68">
        <f>-164344519</f>
        <v>-164344519</v>
      </c>
      <c r="D68" s="68">
        <v>69466106</v>
      </c>
      <c r="E68" s="68">
        <f>-2187394862</f>
        <v>-2187394862</v>
      </c>
      <c r="F68" s="68">
        <v>3798913682</v>
      </c>
    </row>
    <row r="69" spans="1:6" outlineLevel="1">
      <c r="A69" t="s">
        <v>182</v>
      </c>
      <c r="B69" s="68">
        <f>-39790005</f>
        <v>-39790005</v>
      </c>
      <c r="C69" s="68">
        <f>-20506369</f>
        <v>-20506369</v>
      </c>
      <c r="D69" s="68">
        <f>-195808249</f>
        <v>-195808249</v>
      </c>
      <c r="E69" s="68">
        <f>-1270266381</f>
        <v>-1270266381</v>
      </c>
      <c r="F69" s="68">
        <f>-1910247926</f>
        <v>-1910247926</v>
      </c>
    </row>
    <row r="70" spans="1:6" outlineLevel="1">
      <c r="A70" t="s">
        <v>183</v>
      </c>
      <c r="B70" s="68">
        <f>-12803717</f>
        <v>-12803717</v>
      </c>
      <c r="C70" s="68">
        <f>-261494767</f>
        <v>-261494767</v>
      </c>
      <c r="D70" s="68">
        <f>-1676275654</f>
        <v>-1676275654</v>
      </c>
      <c r="E70" s="68">
        <f>-182699841</f>
        <v>-182699841</v>
      </c>
      <c r="F70" s="68">
        <f>-417527655</f>
        <v>-417527655</v>
      </c>
    </row>
    <row r="71" spans="1:6" outlineLevel="1">
      <c r="A71" t="s">
        <v>184</v>
      </c>
      <c r="B71" s="68">
        <f>-22071938</f>
        <v>-22071938</v>
      </c>
      <c r="C71" s="68">
        <f>-55035210</f>
        <v>-55035210</v>
      </c>
      <c r="D71" s="68">
        <f>-172272030</f>
        <v>-172272030</v>
      </c>
      <c r="E71" s="68">
        <f>-593232024</f>
        <v>-593232024</v>
      </c>
      <c r="F71" s="68">
        <f>-1297787883</f>
        <v>-1297787883</v>
      </c>
    </row>
    <row r="72" spans="1:6" outlineLevel="1">
      <c r="A72" t="s">
        <v>185</v>
      </c>
      <c r="B72" s="68">
        <f>447737431</f>
        <v>447737431</v>
      </c>
      <c r="C72" s="68">
        <v>428102217</v>
      </c>
      <c r="D72" s="68">
        <f>-1671253454</f>
        <v>-1671253454</v>
      </c>
      <c r="E72" s="68">
        <f>-1152746468</f>
        <v>-1152746468</v>
      </c>
      <c r="F72" s="68">
        <v>1021303286</v>
      </c>
    </row>
    <row r="73" spans="1:6" outlineLevel="1">
      <c r="A73" t="s">
        <v>186</v>
      </c>
      <c r="B73" s="68">
        <f>-67159671</f>
        <v>-67159671</v>
      </c>
      <c r="C73" s="68">
        <f>-563566112</f>
        <v>-563566112</v>
      </c>
      <c r="D73" s="68">
        <v>336399775</v>
      </c>
      <c r="E73" s="68">
        <v>1182486981</v>
      </c>
      <c r="F73" s="68">
        <f>-5998094889</f>
        <v>-5998094889</v>
      </c>
    </row>
    <row r="74" spans="1:6" outlineLevel="1">
      <c r="A74" t="s">
        <v>187</v>
      </c>
      <c r="B74" s="68">
        <f>-214598597</f>
        <v>-214598597</v>
      </c>
      <c r="C74" s="68">
        <f>-535030448</f>
        <v>-535030448</v>
      </c>
      <c r="D74" s="68">
        <v>1097915483</v>
      </c>
      <c r="E74" s="68">
        <v>2761499649</v>
      </c>
      <c r="F74" s="68">
        <f>-536946565</f>
        <v>-536946565</v>
      </c>
    </row>
    <row r="75" spans="1:6" outlineLevel="1">
      <c r="A75" t="s">
        <v>191</v>
      </c>
      <c r="B75" s="68">
        <f>-24933922</f>
        <v>-24933922</v>
      </c>
      <c r="C75" s="68">
        <f>-450968802</f>
        <v>-450968802</v>
      </c>
      <c r="D75" s="68">
        <v>291361679</v>
      </c>
      <c r="E75" s="68">
        <v>1800895675</v>
      </c>
      <c r="F75" s="68">
        <v>218202685</v>
      </c>
    </row>
    <row r="76" spans="1:6" outlineLevel="1">
      <c r="A76" t="s">
        <v>78</v>
      </c>
      <c r="B76" s="68">
        <v>0</v>
      </c>
      <c r="C76" s="68">
        <v>0</v>
      </c>
      <c r="D76" s="68"/>
      <c r="E76" s="68"/>
      <c r="F76" s="68"/>
    </row>
    <row r="77" spans="1:6" ht="15">
      <c r="A77" s="18" t="s">
        <v>88</v>
      </c>
      <c r="B77" s="72">
        <f t="shared" ref="B77:E77" si="19">B67+B59+B57</f>
        <v>730848381</v>
      </c>
      <c r="C77" s="72">
        <f t="shared" si="19"/>
        <v>508544688</v>
      </c>
      <c r="D77" s="72">
        <f>D67+D59+D57</f>
        <v>304457343</v>
      </c>
      <c r="E77" s="72">
        <f t="shared" si="19"/>
        <v>-156334146</v>
      </c>
      <c r="F77" s="72">
        <f>F67+F59+F57</f>
        <v>5589729002</v>
      </c>
    </row>
    <row r="78" spans="1:6">
      <c r="A78" t="s">
        <v>89</v>
      </c>
      <c r="B78" s="68">
        <f>-42183587</f>
        <v>-42183587</v>
      </c>
      <c r="C78" s="68">
        <f>-158828201</f>
        <v>-158828201</v>
      </c>
      <c r="D78" s="68">
        <f>-562865660</f>
        <v>-562865660</v>
      </c>
      <c r="E78" s="68">
        <f>-811662819</f>
        <v>-811662819</v>
      </c>
      <c r="F78" s="68">
        <f>-1555724203</f>
        <v>-1555724203</v>
      </c>
    </row>
    <row r="79" spans="1:6">
      <c r="A79" t="s">
        <v>78</v>
      </c>
      <c r="B79" s="68">
        <v>0</v>
      </c>
      <c r="C79" s="68">
        <v>0</v>
      </c>
      <c r="D79" s="68">
        <v>0</v>
      </c>
      <c r="E79" s="68">
        <v>0</v>
      </c>
      <c r="F79" s="68">
        <v>0</v>
      </c>
    </row>
    <row r="80" spans="1:6" ht="15">
      <c r="A80" s="18" t="s">
        <v>90</v>
      </c>
      <c r="B80" s="72">
        <f t="shared" ref="B80:E80" si="20">SUM(B78:B79)</f>
        <v>-42183587</v>
      </c>
      <c r="C80" s="72">
        <f t="shared" si="20"/>
        <v>-158828201</v>
      </c>
      <c r="D80" s="72">
        <f t="shared" si="20"/>
        <v>-562865660</v>
      </c>
      <c r="E80" s="72">
        <f t="shared" si="20"/>
        <v>-811662819</v>
      </c>
      <c r="F80" s="72">
        <f>SUM(F78:F79)</f>
        <v>-1555724203</v>
      </c>
    </row>
    <row r="81" spans="1:6">
      <c r="A81" t="s">
        <v>54</v>
      </c>
      <c r="B81" s="68">
        <f>-188002745</f>
        <v>-188002745</v>
      </c>
      <c r="C81" s="68">
        <f>-51677561</f>
        <v>-51677561</v>
      </c>
      <c r="D81" s="68">
        <v>61809931</v>
      </c>
      <c r="E81" s="68">
        <f>-546848253</f>
        <v>-546848253</v>
      </c>
      <c r="F81" s="68">
        <f>-1993996191</f>
        <v>-1993996191</v>
      </c>
    </row>
    <row r="82" spans="1:6">
      <c r="A82" t="s">
        <v>91</v>
      </c>
      <c r="B82" s="68">
        <v>0</v>
      </c>
      <c r="C82" s="68">
        <v>0</v>
      </c>
      <c r="D82" s="68">
        <f>-839000000</f>
        <v>-839000000</v>
      </c>
      <c r="E82" s="68">
        <v>0</v>
      </c>
      <c r="F82" s="68">
        <v>0</v>
      </c>
    </row>
    <row r="83" spans="1:6">
      <c r="A83" t="s">
        <v>78</v>
      </c>
      <c r="B83" s="68">
        <v>0</v>
      </c>
      <c r="C83" s="68">
        <v>0</v>
      </c>
      <c r="D83" s="68">
        <v>0</v>
      </c>
      <c r="E83" s="68">
        <v>0</v>
      </c>
      <c r="F83" s="68">
        <v>0</v>
      </c>
    </row>
    <row r="84" spans="1:6" ht="15">
      <c r="A84" s="18" t="s">
        <v>92</v>
      </c>
      <c r="B84" s="72">
        <f t="shared" ref="B84:E84" si="21">SUM(B81:B83)</f>
        <v>-188002745</v>
      </c>
      <c r="C84" s="72">
        <f t="shared" si="21"/>
        <v>-51677561</v>
      </c>
      <c r="D84" s="72">
        <f t="shared" si="21"/>
        <v>-777190069</v>
      </c>
      <c r="E84" s="72">
        <f t="shared" si="21"/>
        <v>-546848253</v>
      </c>
      <c r="F84" s="72">
        <f>SUM(F81:F83)</f>
        <v>-1993996191</v>
      </c>
    </row>
    <row r="85" spans="1:6" ht="15" thickBot="1">
      <c r="A85" s="22" t="s">
        <v>93</v>
      </c>
      <c r="B85" s="70">
        <f t="shared" ref="B85:E85" si="22">B77+B80+B84</f>
        <v>500662049</v>
      </c>
      <c r="C85" s="70">
        <f t="shared" si="22"/>
        <v>298038926</v>
      </c>
      <c r="D85" s="70">
        <f t="shared" si="22"/>
        <v>-1035598386</v>
      </c>
      <c r="E85" s="70">
        <f t="shared" si="22"/>
        <v>-1514845218</v>
      </c>
      <c r="F85" s="70">
        <f>F77+F80+F84</f>
        <v>2040008608</v>
      </c>
    </row>
    <row r="88" spans="1:6" ht="18">
      <c r="A88" s="28" t="s">
        <v>96</v>
      </c>
    </row>
    <row r="89" spans="1:6" ht="15">
      <c r="A89" s="25" t="s">
        <v>65</v>
      </c>
      <c r="B89" s="154">
        <v>2020</v>
      </c>
      <c r="C89" s="154">
        <v>2021</v>
      </c>
      <c r="D89" s="154">
        <v>2022</v>
      </c>
      <c r="E89" s="154">
        <v>2023</v>
      </c>
      <c r="F89" s="154">
        <v>2024</v>
      </c>
    </row>
    <row r="90" spans="1:6">
      <c r="A90" t="s">
        <v>24</v>
      </c>
      <c r="B90" s="76">
        <f t="shared" ref="B90:F93" si="23">B7/B$2</f>
        <v>29683085.175896909</v>
      </c>
      <c r="C90" s="76">
        <f t="shared" si="23"/>
        <v>48232048.549065627</v>
      </c>
      <c r="D90" s="76">
        <f t="shared" si="23"/>
        <v>58499325.901518971</v>
      </c>
      <c r="E90" s="76">
        <f t="shared" si="23"/>
        <v>39185444.636472158</v>
      </c>
      <c r="F90" s="76">
        <f t="shared" si="23"/>
        <v>54751075.605473705</v>
      </c>
    </row>
    <row r="91" spans="1:6">
      <c r="A91" t="s">
        <v>25</v>
      </c>
      <c r="B91" s="76">
        <f t="shared" si="23"/>
        <v>-18239562.30975917</v>
      </c>
      <c r="C91" s="76">
        <f t="shared" si="23"/>
        <v>-28707831.189822033</v>
      </c>
      <c r="D91" s="76">
        <f t="shared" si="23"/>
        <v>-34632239.643082783</v>
      </c>
      <c r="E91" s="76">
        <f t="shared" si="23"/>
        <v>-27435286.376658045</v>
      </c>
      <c r="F91" s="76">
        <f t="shared" si="23"/>
        <v>-38426454.02738554</v>
      </c>
    </row>
    <row r="92" spans="1:6">
      <c r="A92" s="18" t="s">
        <v>26</v>
      </c>
      <c r="B92" s="77">
        <f t="shared" si="23"/>
        <v>11443522.866137739</v>
      </c>
      <c r="C92" s="77">
        <f t="shared" si="23"/>
        <v>19524217.359243594</v>
      </c>
      <c r="D92" s="77">
        <f t="shared" si="23"/>
        <v>23867086.258436192</v>
      </c>
      <c r="E92" s="77">
        <f t="shared" si="23"/>
        <v>11750158.259814113</v>
      </c>
      <c r="F92" s="77">
        <f t="shared" si="23"/>
        <v>16324621.578088166</v>
      </c>
    </row>
    <row r="93" spans="1:6">
      <c r="A93" t="s">
        <v>27</v>
      </c>
      <c r="B93" s="76">
        <f t="shared" si="23"/>
        <v>-3152701.5435953089</v>
      </c>
      <c r="C93" s="76">
        <f t="shared" si="23"/>
        <v>-4586476.6146501806</v>
      </c>
      <c r="D93" s="76">
        <f t="shared" si="23"/>
        <v>-6471364.510583804</v>
      </c>
      <c r="E93" s="76">
        <f t="shared" si="23"/>
        <v>-7303890.603935034</v>
      </c>
      <c r="F93" s="76">
        <f t="shared" si="23"/>
        <v>-8541077.8752193097</v>
      </c>
    </row>
    <row r="94" spans="1:6">
      <c r="A94" t="s">
        <v>70</v>
      </c>
      <c r="B94" s="76">
        <f>B13/B$2</f>
        <v>-1500242.8021244267</v>
      </c>
      <c r="C94" s="76">
        <f>C13/C$2</f>
        <v>-3137668.1110910326</v>
      </c>
      <c r="D94" s="76">
        <f>D13/D$2</f>
        <v>-9941735.2397433706</v>
      </c>
      <c r="E94" s="76">
        <f>E13/E$2</f>
        <v>-7304859.7674387423</v>
      </c>
      <c r="F94" s="76">
        <f>F13/F$2</f>
        <v>-2621245.9992176862</v>
      </c>
    </row>
    <row r="95" spans="1:6">
      <c r="A95" s="18" t="s">
        <v>28</v>
      </c>
      <c r="B95" s="77">
        <f t="shared" ref="B95:F96" si="24">B16/B$2</f>
        <v>6790578.5204180041</v>
      </c>
      <c r="C95" s="77">
        <f t="shared" si="24"/>
        <v>11800072.633502379</v>
      </c>
      <c r="D95" s="77">
        <f t="shared" si="24"/>
        <v>7453986.5081090182</v>
      </c>
      <c r="E95" s="77">
        <f t="shared" si="24"/>
        <v>-2858592.111559663</v>
      </c>
      <c r="F95" s="77">
        <f t="shared" si="24"/>
        <v>5162297.7036511702</v>
      </c>
    </row>
    <row r="96" spans="1:6">
      <c r="A96" t="s">
        <v>66</v>
      </c>
      <c r="B96" s="76">
        <f t="shared" si="24"/>
        <v>-3157965.4287682404</v>
      </c>
      <c r="C96" s="76">
        <f t="shared" si="24"/>
        <v>-1224860.0258680505</v>
      </c>
      <c r="D96" s="76">
        <f t="shared" si="24"/>
        <v>-1981610.8497145409</v>
      </c>
      <c r="E96" s="76">
        <f t="shared" si="24"/>
        <v>-3859328.6140207355</v>
      </c>
      <c r="F96" s="76">
        <f t="shared" si="24"/>
        <v>-254323.16379146697</v>
      </c>
    </row>
    <row r="97" spans="1:14">
      <c r="A97" s="18" t="s">
        <v>67</v>
      </c>
      <c r="B97" s="77">
        <f t="shared" ref="B97:F99" si="25">B20/B$2</f>
        <v>3632613.0916497633</v>
      </c>
      <c r="C97" s="77">
        <f t="shared" si="25"/>
        <v>10575212.60763433</v>
      </c>
      <c r="D97" s="77">
        <f t="shared" si="25"/>
        <v>5472375.6583944773</v>
      </c>
      <c r="E97" s="77">
        <f t="shared" si="25"/>
        <v>-6717920.7255803989</v>
      </c>
      <c r="F97" s="77">
        <f t="shared" si="25"/>
        <v>4907974.5398597028</v>
      </c>
    </row>
    <row r="98" spans="1:14">
      <c r="A98" t="s">
        <v>68</v>
      </c>
      <c r="B98" s="76">
        <f t="shared" si="25"/>
        <v>-1167281.2370773088</v>
      </c>
      <c r="C98" s="76">
        <f t="shared" si="25"/>
        <v>-3765743.4686506079</v>
      </c>
      <c r="D98" s="76">
        <f t="shared" si="25"/>
        <v>-2135245.0377217703</v>
      </c>
      <c r="E98" s="76">
        <f t="shared" si="25"/>
        <v>1073240.5977655882</v>
      </c>
      <c r="F98" s="76">
        <f t="shared" si="25"/>
        <v>-2686390.6790330261</v>
      </c>
    </row>
    <row r="99" spans="1:14" ht="15" thickBot="1">
      <c r="A99" s="22" t="s">
        <v>69</v>
      </c>
      <c r="B99" s="78">
        <f t="shared" si="25"/>
        <v>2465331.8545724545</v>
      </c>
      <c r="C99" s="78">
        <f t="shared" si="25"/>
        <v>6809469.1389837218</v>
      </c>
      <c r="D99" s="78">
        <f t="shared" si="25"/>
        <v>3337130.6206727065</v>
      </c>
      <c r="E99" s="78">
        <f t="shared" si="25"/>
        <v>-5644680.1278148107</v>
      </c>
      <c r="F99" s="78">
        <f t="shared" si="25"/>
        <v>2221583.8608266772</v>
      </c>
    </row>
    <row r="100" spans="1:14">
      <c r="A100" s="147" t="s">
        <v>25</v>
      </c>
      <c r="B100" s="157">
        <f>B91*-1</f>
        <v>18239562.30975917</v>
      </c>
      <c r="C100" s="157">
        <f t="shared" ref="C100:F100" si="26">C91*-1</f>
        <v>28707831.189822033</v>
      </c>
      <c r="D100" s="157">
        <f t="shared" si="26"/>
        <v>34632239.643082783</v>
      </c>
      <c r="E100" s="157">
        <f t="shared" si="26"/>
        <v>27435286.376658045</v>
      </c>
      <c r="F100" s="157">
        <f t="shared" si="26"/>
        <v>38426454.02738554</v>
      </c>
    </row>
    <row r="102" spans="1:14" ht="15">
      <c r="A102" s="153" t="s">
        <v>71</v>
      </c>
      <c r="B102" s="154">
        <v>2020</v>
      </c>
      <c r="C102" s="154">
        <v>2021</v>
      </c>
      <c r="D102" s="154">
        <v>2022</v>
      </c>
      <c r="E102" s="154">
        <v>2023</v>
      </c>
      <c r="F102" s="154">
        <v>2024</v>
      </c>
      <c r="I102" s="159">
        <v>2020</v>
      </c>
      <c r="J102" s="159">
        <v>2021</v>
      </c>
      <c r="K102" s="159">
        <v>2022</v>
      </c>
      <c r="L102" s="159">
        <v>2023</v>
      </c>
      <c r="M102" s="159">
        <v>2024</v>
      </c>
    </row>
    <row r="103" spans="1:14">
      <c r="A103" t="s">
        <v>72</v>
      </c>
      <c r="B103" s="76">
        <f t="shared" ref="B103:F109" si="27">B26/B$2</f>
        <v>4801664.8496491462</v>
      </c>
      <c r="C103" s="76">
        <f t="shared" si="27"/>
        <v>7214377.2777583953</v>
      </c>
      <c r="D103" s="76">
        <f t="shared" si="27"/>
        <v>5091935.2512629349</v>
      </c>
      <c r="E103" s="76">
        <f t="shared" si="27"/>
        <v>4286417.7930821748</v>
      </c>
      <c r="F103" s="76">
        <f t="shared" si="27"/>
        <v>6355920.1264276793</v>
      </c>
      <c r="G103" s="155">
        <f>F103/B103-1</f>
        <v>0.32369091251591642</v>
      </c>
      <c r="H103" s="165" t="s">
        <v>72</v>
      </c>
      <c r="I103" s="158">
        <f>B103/B$107</f>
        <v>0.29144073319355546</v>
      </c>
      <c r="J103" s="158">
        <f t="shared" ref="J103:M103" si="28">C103/C$107</f>
        <v>0.24580909811242233</v>
      </c>
      <c r="K103" s="158">
        <f t="shared" si="28"/>
        <v>0.19735155225186837</v>
      </c>
      <c r="L103" s="158">
        <f t="shared" si="28"/>
        <v>0.20196813157298726</v>
      </c>
      <c r="M103" s="160">
        <f t="shared" si="28"/>
        <v>0.22533005104005968</v>
      </c>
    </row>
    <row r="104" spans="1:14">
      <c r="A104" t="s">
        <v>73</v>
      </c>
      <c r="B104" s="76">
        <f t="shared" si="27"/>
        <v>2802144.6716025253</v>
      </c>
      <c r="C104" s="76">
        <f t="shared" si="27"/>
        <v>6158803.2322569452</v>
      </c>
      <c r="D104" s="76">
        <f t="shared" si="27"/>
        <v>5825378.4898483157</v>
      </c>
      <c r="E104" s="76">
        <f t="shared" si="27"/>
        <v>5548038.0762060601</v>
      </c>
      <c r="F104" s="76">
        <f t="shared" si="27"/>
        <v>11046248.749894246</v>
      </c>
      <c r="G104" s="155">
        <f t="shared" ref="G104:G119" si="29">F104/B104-1</f>
        <v>2.9420693948599665</v>
      </c>
      <c r="H104" s="146" t="s">
        <v>73</v>
      </c>
      <c r="I104" s="161">
        <f t="shared" ref="I104:I106" si="30">B104/B$107</f>
        <v>0.17007832141094298</v>
      </c>
      <c r="J104" s="161">
        <f t="shared" ref="J104:J106" si="31">C104/C$107</f>
        <v>0.20984345698695386</v>
      </c>
      <c r="K104" s="161">
        <f t="shared" ref="K104:K106" si="32">D104/D$107</f>
        <v>0.22577810413851332</v>
      </c>
      <c r="L104" s="161">
        <f t="shared" ref="L104:L106" si="33">E104/E$107</f>
        <v>0.26141336151495559</v>
      </c>
      <c r="M104" s="162">
        <f t="shared" ref="M104:M106" si="34">F104/F$107</f>
        <v>0.39161155979060863</v>
      </c>
    </row>
    <row r="105" spans="1:14">
      <c r="A105" t="s">
        <v>74</v>
      </c>
      <c r="B105" s="76">
        <f t="shared" si="27"/>
        <v>3614268.6178007885</v>
      </c>
      <c r="C105" s="76">
        <f t="shared" si="27"/>
        <v>6808205.7626785552</v>
      </c>
      <c r="D105" s="76">
        <f t="shared" si="27"/>
        <v>7542611.5940703321</v>
      </c>
      <c r="E105" s="76">
        <f t="shared" si="27"/>
        <v>7121837.9717278481</v>
      </c>
      <c r="F105" s="76">
        <f t="shared" si="27"/>
        <v>7459357.9529495863</v>
      </c>
      <c r="G105" s="155">
        <f t="shared" si="29"/>
        <v>1.0638637416740928</v>
      </c>
      <c r="H105" s="146" t="s">
        <v>74</v>
      </c>
      <c r="I105" s="161">
        <f t="shared" si="30"/>
        <v>0.21937080760796687</v>
      </c>
      <c r="J105" s="161">
        <f t="shared" si="31"/>
        <v>0.23196997521147064</v>
      </c>
      <c r="K105" s="161">
        <f t="shared" si="32"/>
        <v>0.29233406016966151</v>
      </c>
      <c r="L105" s="161">
        <f t="shared" si="33"/>
        <v>0.33556792126909024</v>
      </c>
      <c r="M105" s="162">
        <f t="shared" si="34"/>
        <v>0.26444912378231888</v>
      </c>
    </row>
    <row r="106" spans="1:14">
      <c r="A106" t="s">
        <v>75</v>
      </c>
      <c r="B106" s="76">
        <f t="shared" si="27"/>
        <v>5257535.2627989594</v>
      </c>
      <c r="C106" s="76">
        <f t="shared" si="27"/>
        <v>9168126.5531448554</v>
      </c>
      <c r="D106" s="76">
        <f t="shared" si="27"/>
        <v>7341418.4757066797</v>
      </c>
      <c r="E106" s="76">
        <f t="shared" si="27"/>
        <v>4266944.4971231613</v>
      </c>
      <c r="F106" s="76">
        <f t="shared" si="27"/>
        <v>3345630.1703854464</v>
      </c>
      <c r="G106" s="155">
        <f t="shared" si="29"/>
        <v>-0.36365045536483387</v>
      </c>
      <c r="H106" s="146" t="s">
        <v>75</v>
      </c>
      <c r="I106" s="161">
        <f t="shared" si="30"/>
        <v>0.31911013778753466</v>
      </c>
      <c r="J106" s="161">
        <f t="shared" si="31"/>
        <v>0.31237746968915314</v>
      </c>
      <c r="K106" s="161">
        <f t="shared" si="32"/>
        <v>0.28453628343995691</v>
      </c>
      <c r="L106" s="161">
        <f t="shared" si="33"/>
        <v>0.20105058564296682</v>
      </c>
      <c r="M106" s="162">
        <f t="shared" si="34"/>
        <v>0.11860926538701273</v>
      </c>
    </row>
    <row r="107" spans="1:14" ht="15">
      <c r="A107" s="18" t="s">
        <v>76</v>
      </c>
      <c r="B107" s="77">
        <f t="shared" si="27"/>
        <v>16475613.401851419</v>
      </c>
      <c r="C107" s="77">
        <f t="shared" si="27"/>
        <v>29349512.825838752</v>
      </c>
      <c r="D107" s="77">
        <f t="shared" si="27"/>
        <v>25801343.810888261</v>
      </c>
      <c r="E107" s="77">
        <f t="shared" si="27"/>
        <v>21223238.338139247</v>
      </c>
      <c r="F107" s="77">
        <f t="shared" si="27"/>
        <v>28207156.99965696</v>
      </c>
      <c r="G107" s="155">
        <f t="shared" si="29"/>
        <v>0.71205504230192895</v>
      </c>
      <c r="H107" s="167" t="s">
        <v>76</v>
      </c>
      <c r="I107" s="168">
        <f>B107/B111</f>
        <v>0.72501536070952799</v>
      </c>
      <c r="J107" s="168">
        <f t="shared" ref="J107:M107" si="35">C107/C111</f>
        <v>0.79878843284201007</v>
      </c>
      <c r="K107" s="168">
        <f t="shared" si="35"/>
        <v>0.70474625363797616</v>
      </c>
      <c r="L107" s="168">
        <f t="shared" si="35"/>
        <v>0.5743454853515858</v>
      </c>
      <c r="M107" s="169">
        <f t="shared" si="35"/>
        <v>0.60254354987108139</v>
      </c>
      <c r="N107" t="s">
        <v>247</v>
      </c>
    </row>
    <row r="108" spans="1:14">
      <c r="A108" t="s">
        <v>77</v>
      </c>
      <c r="B108" s="76">
        <f t="shared" si="27"/>
        <v>6179596.5797417862</v>
      </c>
      <c r="C108" s="76">
        <f t="shared" si="27"/>
        <v>7316794.3366794167</v>
      </c>
      <c r="D108" s="76">
        <f t="shared" si="27"/>
        <v>10714228.784714855</v>
      </c>
      <c r="E108" s="76">
        <f t="shared" si="27"/>
        <v>14695903.134346377</v>
      </c>
      <c r="F108" s="76">
        <f t="shared" si="27"/>
        <v>15803066.124572583</v>
      </c>
      <c r="G108" s="155">
        <f t="shared" si="29"/>
        <v>1.5572973770454301</v>
      </c>
      <c r="H108" s="146" t="s">
        <v>77</v>
      </c>
      <c r="I108" s="161">
        <f>B108/B$110</f>
        <v>0.98891122066019965</v>
      </c>
      <c r="J108" s="161">
        <f t="shared" ref="J108:M108" si="36">C108/C$110</f>
        <v>0.98968907177093501</v>
      </c>
      <c r="K108" s="161">
        <f t="shared" si="36"/>
        <v>0.99118780214311275</v>
      </c>
      <c r="L108" s="161">
        <f t="shared" si="36"/>
        <v>0.93433065279930483</v>
      </c>
      <c r="M108" s="162">
        <f t="shared" si="36"/>
        <v>0.84933874076007521</v>
      </c>
    </row>
    <row r="109" spans="1:14">
      <c r="A109" t="s">
        <v>78</v>
      </c>
      <c r="B109" s="76">
        <f t="shared" si="27"/>
        <v>69292.552708619231</v>
      </c>
      <c r="C109" s="76">
        <f t="shared" si="27"/>
        <v>76228.932322486173</v>
      </c>
      <c r="D109" s="76">
        <f t="shared" si="27"/>
        <v>95255.312596382049</v>
      </c>
      <c r="E109" s="76">
        <f t="shared" si="27"/>
        <v>1032900.2505331207</v>
      </c>
      <c r="F109" s="76">
        <f t="shared" si="27"/>
        <v>2803251.197571917</v>
      </c>
      <c r="G109" s="155">
        <f t="shared" si="29"/>
        <v>39.455302741693096</v>
      </c>
      <c r="H109" s="146" t="s">
        <v>78</v>
      </c>
      <c r="I109" s="161">
        <f>B109/B$110</f>
        <v>1.1088779339800389E-2</v>
      </c>
      <c r="J109" s="161">
        <f t="shared" ref="J109" si="37">C109/C$110</f>
        <v>1.0310928229065005E-2</v>
      </c>
      <c r="K109" s="161">
        <f t="shared" ref="K109" si="38">D109/D$110</f>
        <v>8.8121978568871714E-3</v>
      </c>
      <c r="L109" s="161">
        <f t="shared" ref="L109" si="39">E109/E$110</f>
        <v>6.5669347200695144E-2</v>
      </c>
      <c r="M109" s="162">
        <f t="shared" ref="M109" si="40">F109/F$110</f>
        <v>0.15066125923992488</v>
      </c>
    </row>
    <row r="110" spans="1:14" ht="15">
      <c r="A110" s="18" t="s">
        <v>84</v>
      </c>
      <c r="B110" s="77">
        <f t="shared" ref="B110:F113" si="41">B36/B$2</f>
        <v>6248889.1324504055</v>
      </c>
      <c r="C110" s="77">
        <f t="shared" si="41"/>
        <v>7393023.269001903</v>
      </c>
      <c r="D110" s="77">
        <f t="shared" si="41"/>
        <v>10809484.097311238</v>
      </c>
      <c r="E110" s="77">
        <f t="shared" si="41"/>
        <v>15728803.384879498</v>
      </c>
      <c r="F110" s="77">
        <f t="shared" si="41"/>
        <v>18606317.322144497</v>
      </c>
      <c r="G110" s="155">
        <f t="shared" si="29"/>
        <v>1.9775399959525792</v>
      </c>
      <c r="H110" s="170" t="s">
        <v>84</v>
      </c>
      <c r="I110" s="171">
        <f>B110/B111</f>
        <v>0.27498463929047207</v>
      </c>
      <c r="J110" s="171">
        <f t="shared" ref="J110:M110" si="42">C110/C111</f>
        <v>0.20121156715799005</v>
      </c>
      <c r="K110" s="171">
        <f t="shared" si="42"/>
        <v>0.29525374636202384</v>
      </c>
      <c r="L110" s="171">
        <f t="shared" si="42"/>
        <v>0.42565451464841431</v>
      </c>
      <c r="M110" s="172">
        <f t="shared" si="42"/>
        <v>0.39745645012891873</v>
      </c>
    </row>
    <row r="111" spans="1:14" ht="15.75" thickBot="1">
      <c r="A111" s="22" t="s">
        <v>79</v>
      </c>
      <c r="B111" s="78">
        <f t="shared" si="41"/>
        <v>22724502.534301825</v>
      </c>
      <c r="C111" s="78">
        <f t="shared" si="41"/>
        <v>36742536.094840653</v>
      </c>
      <c r="D111" s="78">
        <f t="shared" si="41"/>
        <v>36610827.908199497</v>
      </c>
      <c r="E111" s="78">
        <f t="shared" si="41"/>
        <v>36952041.723018743</v>
      </c>
      <c r="F111" s="78">
        <f t="shared" si="41"/>
        <v>46813474.321801454</v>
      </c>
      <c r="G111" s="156">
        <f t="shared" si="29"/>
        <v>1.0600439658090726</v>
      </c>
      <c r="H111" s="166" t="s">
        <v>79</v>
      </c>
      <c r="I111" s="22">
        <v>1</v>
      </c>
      <c r="J111" s="22">
        <v>1</v>
      </c>
      <c r="K111" s="22">
        <v>1</v>
      </c>
      <c r="L111" s="22">
        <v>1</v>
      </c>
      <c r="M111" s="163">
        <v>1</v>
      </c>
    </row>
    <row r="112" spans="1:14">
      <c r="A112" t="s">
        <v>80</v>
      </c>
      <c r="B112" s="76">
        <f t="shared" si="41"/>
        <v>3085501.1215157947</v>
      </c>
      <c r="C112" s="76">
        <f t="shared" si="41"/>
        <v>2560490.9486811557</v>
      </c>
      <c r="D112" s="76">
        <f t="shared" si="41"/>
        <v>3649203.6868774206</v>
      </c>
      <c r="E112" s="76">
        <f t="shared" si="41"/>
        <v>1156198.9310765683</v>
      </c>
      <c r="F112" s="76">
        <f t="shared" si="41"/>
        <v>4678281.610932555</v>
      </c>
      <c r="G112" s="155">
        <f t="shared" si="29"/>
        <v>0.51621452292141301</v>
      </c>
      <c r="H112" s="146" t="s">
        <v>80</v>
      </c>
      <c r="I112" s="161">
        <f>B112/B$115</f>
        <v>0.2655178192431617</v>
      </c>
      <c r="J112" s="161">
        <f t="shared" ref="J112:M112" si="43">C112/C$115</f>
        <v>0.13944991917277272</v>
      </c>
      <c r="K112" s="161">
        <f t="shared" si="43"/>
        <v>0.28146493558300073</v>
      </c>
      <c r="L112" s="161">
        <f t="shared" si="43"/>
        <v>9.9999439723756425E-2</v>
      </c>
      <c r="M112" s="162">
        <f t="shared" si="43"/>
        <v>0.25900568999959112</v>
      </c>
    </row>
    <row r="113" spans="1:13">
      <c r="A113" t="s">
        <v>81</v>
      </c>
      <c r="B113" s="76">
        <f t="shared" si="41"/>
        <v>2393698.0768068414</v>
      </c>
      <c r="C113" s="76">
        <f t="shared" si="41"/>
        <v>2931925.1084151133</v>
      </c>
      <c r="D113" s="76">
        <f t="shared" si="41"/>
        <v>4117427.6478436543</v>
      </c>
      <c r="E113" s="76">
        <f t="shared" si="41"/>
        <v>6391040.4619036773</v>
      </c>
      <c r="F113" s="76">
        <f t="shared" si="41"/>
        <v>5919634.4492054367</v>
      </c>
      <c r="G113" s="155">
        <f t="shared" si="29"/>
        <v>1.473007981483673</v>
      </c>
      <c r="H113" s="146" t="s">
        <v>81</v>
      </c>
      <c r="I113" s="161">
        <f t="shared" ref="I113:I114" si="44">B113/B$115</f>
        <v>0.20598582474929406</v>
      </c>
      <c r="J113" s="161">
        <f t="shared" ref="J113:J114" si="45">C113/C$115</f>
        <v>0.15967903327278005</v>
      </c>
      <c r="K113" s="161">
        <f t="shared" ref="K113:K114" si="46">D113/D$115</f>
        <v>0.31757928773212629</v>
      </c>
      <c r="L113" s="161">
        <f t="shared" ref="L113:L114" si="47">E113/E$115</f>
        <v>0.55275995182519444</v>
      </c>
      <c r="M113" s="162">
        <f t="shared" ref="M113:M114" si="48">F113/F$115</f>
        <v>0.32773123393830411</v>
      </c>
    </row>
    <row r="114" spans="1:13">
      <c r="A114" t="s">
        <v>78</v>
      </c>
      <c r="B114" s="76">
        <f t="shared" ref="B114:F116" si="49">B43/B$2</f>
        <v>297392.90624725609</v>
      </c>
      <c r="C114" s="76">
        <f t="shared" si="49"/>
        <v>589734.89829758951</v>
      </c>
      <c r="D114" s="76">
        <f t="shared" si="49"/>
        <v>864725.88587157079</v>
      </c>
      <c r="E114" s="76">
        <f t="shared" si="49"/>
        <v>1188264.2528936041</v>
      </c>
      <c r="F114" s="76">
        <f t="shared" si="49"/>
        <v>1191819.4764193308</v>
      </c>
      <c r="G114" s="155">
        <f t="shared" si="29"/>
        <v>3.0075585240370106</v>
      </c>
      <c r="H114" s="146" t="s">
        <v>78</v>
      </c>
      <c r="I114" s="161">
        <f t="shared" si="44"/>
        <v>2.5591666577118522E-2</v>
      </c>
      <c r="J114" s="161">
        <f t="shared" si="45"/>
        <v>3.2118248238026836E-2</v>
      </c>
      <c r="K114" s="161">
        <f t="shared" si="46"/>
        <v>6.6696747194196992E-2</v>
      </c>
      <c r="L114" s="161">
        <f t="shared" si="47"/>
        <v>0.10277276369948424</v>
      </c>
      <c r="M114" s="162">
        <f t="shared" si="48"/>
        <v>6.5983207407517994E-2</v>
      </c>
    </row>
    <row r="115" spans="1:13" ht="15">
      <c r="A115" s="18" t="s">
        <v>82</v>
      </c>
      <c r="B115" s="77">
        <f t="shared" si="49"/>
        <v>11620693.218672782</v>
      </c>
      <c r="C115" s="77">
        <f t="shared" si="49"/>
        <v>18361365.598991942</v>
      </c>
      <c r="D115" s="77">
        <f t="shared" si="49"/>
        <v>12965038.360173687</v>
      </c>
      <c r="E115" s="77">
        <f t="shared" si="49"/>
        <v>11562054.09020802</v>
      </c>
      <c r="F115" s="77">
        <f t="shared" si="49"/>
        <v>18062466.54635248</v>
      </c>
      <c r="G115" s="155">
        <f t="shared" si="29"/>
        <v>0.55433640717136345</v>
      </c>
      <c r="H115" s="167" t="s">
        <v>82</v>
      </c>
      <c r="I115" s="168">
        <f>B115/B119</f>
        <v>0.86591237560082845</v>
      </c>
      <c r="J115" s="168">
        <f t="shared" ref="J115:M115" si="50">C115/C119</f>
        <v>0.93845183204659</v>
      </c>
      <c r="K115" s="168">
        <f t="shared" si="50"/>
        <v>0.87735444719422284</v>
      </c>
      <c r="L115" s="168">
        <f t="shared" si="50"/>
        <v>0.88425389667862042</v>
      </c>
      <c r="M115" s="169">
        <f t="shared" si="50"/>
        <v>0.94520590461432941</v>
      </c>
    </row>
    <row r="116" spans="1:13">
      <c r="A116" t="s">
        <v>81</v>
      </c>
      <c r="B116" s="76">
        <f t="shared" si="49"/>
        <v>694420.98246106307</v>
      </c>
      <c r="C116" s="76">
        <f t="shared" si="49"/>
        <v>509906.71661493368</v>
      </c>
      <c r="D116" s="76">
        <f t="shared" si="49"/>
        <v>1076578.5468564413</v>
      </c>
      <c r="E116" s="76">
        <f t="shared" si="49"/>
        <v>1487905.8507798987</v>
      </c>
      <c r="F116" s="76">
        <f t="shared" si="49"/>
        <v>1047065.205333592</v>
      </c>
      <c r="G116" s="155">
        <f t="shared" si="29"/>
        <v>0.50782483792862942</v>
      </c>
      <c r="H116" s="146" t="s">
        <v>81</v>
      </c>
      <c r="I116" s="161">
        <f>B116/B$119</f>
        <v>5.174456560162051E-2</v>
      </c>
      <c r="J116" s="161">
        <f t="shared" ref="J116:M116" si="51">C116/C$119</f>
        <v>2.6061399943281847E-2</v>
      </c>
      <c r="K116" s="161">
        <f t="shared" si="51"/>
        <v>7.2852925660432763E-2</v>
      </c>
      <c r="L116" s="161">
        <f t="shared" si="51"/>
        <v>0.11379349518502141</v>
      </c>
      <c r="M116" s="162">
        <f t="shared" si="51"/>
        <v>5.4792750040961825E-2</v>
      </c>
    </row>
    <row r="117" spans="1:13">
      <c r="A117" t="s">
        <v>78</v>
      </c>
      <c r="B117" s="76">
        <f>B48/B$2</f>
        <v>531029.92733070406</v>
      </c>
      <c r="C117" s="76">
        <f>C48/C$2</f>
        <v>369608.96062243247</v>
      </c>
      <c r="D117" s="76">
        <f>D48/D$2</f>
        <v>605737.69246413466</v>
      </c>
      <c r="E117" s="76">
        <f>E48/E$2</f>
        <v>0</v>
      </c>
      <c r="F117" s="76">
        <f>F48/F$2</f>
        <v>0.42977168198955845</v>
      </c>
      <c r="G117" s="155">
        <f t="shared" si="29"/>
        <v>-0.99999919068274712</v>
      </c>
      <c r="H117" s="146" t="s">
        <v>78</v>
      </c>
      <c r="I117" s="161">
        <f>B117/B$119</f>
        <v>3.956953145886271E-2</v>
      </c>
      <c r="J117" s="161">
        <f t="shared" ref="J117" si="52">C117/C$119</f>
        <v>1.889076301906437E-2</v>
      </c>
      <c r="K117" s="161">
        <f t="shared" ref="K117" si="53">D117/D$119</f>
        <v>4.0990750937466215E-2</v>
      </c>
      <c r="L117" s="161">
        <f t="shared" ref="L117" si="54">E117/E$119</f>
        <v>0</v>
      </c>
      <c r="M117" s="162">
        <f t="shared" ref="M117" si="55">F117/F$119</f>
        <v>2.2489881457225166E-8</v>
      </c>
    </row>
    <row r="118" spans="1:13" ht="15">
      <c r="A118" s="18" t="s">
        <v>83</v>
      </c>
      <c r="B118" s="77">
        <f t="shared" ref="B118:F119" si="56">B51/B$2</f>
        <v>1799479.013661419</v>
      </c>
      <c r="C118" s="77">
        <f t="shared" si="56"/>
        <v>1204226.3386882257</v>
      </c>
      <c r="D118" s="77">
        <f t="shared" si="56"/>
        <v>1812385.292987068</v>
      </c>
      <c r="E118" s="77">
        <f t="shared" si="56"/>
        <v>1513437.1613846384</v>
      </c>
      <c r="F118" s="77">
        <f t="shared" si="56"/>
        <v>1047090.9142756086</v>
      </c>
      <c r="G118" s="155">
        <f t="shared" si="29"/>
        <v>-0.4181144062663551</v>
      </c>
      <c r="H118" s="167" t="s">
        <v>83</v>
      </c>
      <c r="I118" s="168">
        <f>B118/B119</f>
        <v>0.13408762439917146</v>
      </c>
      <c r="J118" s="168">
        <f t="shared" ref="J118:M118" si="57">C118/C119</f>
        <v>6.1548167953410116E-2</v>
      </c>
      <c r="K118" s="168">
        <f t="shared" si="57"/>
        <v>0.12264555280577717</v>
      </c>
      <c r="L118" s="168">
        <f t="shared" si="57"/>
        <v>0.11574610332137956</v>
      </c>
      <c r="M118" s="169">
        <f t="shared" si="57"/>
        <v>5.4794095385670594E-2</v>
      </c>
    </row>
    <row r="119" spans="1:13" ht="15.75" thickBot="1">
      <c r="A119" s="22" t="s">
        <v>85</v>
      </c>
      <c r="B119" s="78">
        <f t="shared" si="56"/>
        <v>13420172.232334202</v>
      </c>
      <c r="C119" s="78">
        <f t="shared" si="56"/>
        <v>19565591.937680166</v>
      </c>
      <c r="D119" s="78">
        <f t="shared" si="56"/>
        <v>14777423.653160755</v>
      </c>
      <c r="E119" s="78">
        <f t="shared" si="56"/>
        <v>13075491.251592658</v>
      </c>
      <c r="F119" s="78">
        <f t="shared" si="56"/>
        <v>19109557.460628089</v>
      </c>
      <c r="G119" s="156">
        <f t="shared" si="29"/>
        <v>0.42394278775245775</v>
      </c>
      <c r="H119" s="3" t="s">
        <v>85</v>
      </c>
      <c r="I119" s="18">
        <v>1</v>
      </c>
      <c r="J119" s="18">
        <v>1</v>
      </c>
      <c r="K119" s="18">
        <v>1</v>
      </c>
      <c r="L119" s="18">
        <v>1</v>
      </c>
      <c r="M119" s="164">
        <v>1</v>
      </c>
    </row>
    <row r="122" spans="1:13" ht="15">
      <c r="A122" s="24" t="s">
        <v>86</v>
      </c>
      <c r="B122" s="154">
        <v>2020</v>
      </c>
      <c r="C122" s="154">
        <v>2021</v>
      </c>
      <c r="D122" s="154">
        <v>2022</v>
      </c>
      <c r="E122" s="154">
        <v>2023</v>
      </c>
      <c r="F122" s="154">
        <v>2024</v>
      </c>
    </row>
    <row r="123" spans="1:13">
      <c r="A123" t="s">
        <v>69</v>
      </c>
      <c r="B123" s="76">
        <f t="shared" ref="B123:E123" si="58">B57/B$2</f>
        <v>2287812.89378217</v>
      </c>
      <c r="C123" s="76">
        <f t="shared" si="58"/>
        <v>6708594.4435329502</v>
      </c>
      <c r="D123" s="76">
        <f t="shared" si="58"/>
        <v>3218210.8171306327</v>
      </c>
      <c r="E123" s="76">
        <f t="shared" si="58"/>
        <v>-5827930.5241346024</v>
      </c>
      <c r="F123" s="76">
        <f>F57/F$2</f>
        <v>2067010.2205020727</v>
      </c>
    </row>
    <row r="124" spans="1:13">
      <c r="A124" t="s">
        <v>37</v>
      </c>
      <c r="B124" s="76">
        <f>B60/B$2</f>
        <v>434332.82891353063</v>
      </c>
      <c r="C124" s="76">
        <f>C60/C$2</f>
        <v>603268.28673725307</v>
      </c>
      <c r="D124" s="76">
        <f>D60/D$2</f>
        <v>889877.76079708792</v>
      </c>
      <c r="E124" s="76">
        <f>E60/E$2</f>
        <v>1299050.632636365</v>
      </c>
      <c r="F124" s="76">
        <f>F60/F$2</f>
        <v>1316776.3166933076</v>
      </c>
    </row>
    <row r="125" spans="1:13">
      <c r="A125" t="s">
        <v>87</v>
      </c>
      <c r="B125" s="76">
        <f t="shared" ref="B125:E125" si="59">B67/B$2</f>
        <v>709131.44845919951</v>
      </c>
      <c r="C125" s="76">
        <f t="shared" si="59"/>
        <v>-9866471.62051755</v>
      </c>
      <c r="D125" s="76">
        <f t="shared" si="59"/>
        <v>-7664016.3822454447</v>
      </c>
      <c r="E125" s="76">
        <f t="shared" si="59"/>
        <v>625133.17645954329</v>
      </c>
      <c r="F125" s="76">
        <f>F67/F$2</f>
        <v>-4402740.3536023647</v>
      </c>
    </row>
    <row r="126" spans="1:13">
      <c r="A126" t="s">
        <v>78</v>
      </c>
      <c r="B126" s="76">
        <f t="shared" ref="B126:E126" si="60">B76/B$2</f>
        <v>0</v>
      </c>
      <c r="C126" s="76">
        <f t="shared" si="60"/>
        <v>0</v>
      </c>
      <c r="D126" s="76">
        <f t="shared" si="60"/>
        <v>0</v>
      </c>
      <c r="E126" s="76">
        <f t="shared" si="60"/>
        <v>0</v>
      </c>
      <c r="F126" s="76">
        <f>F76/F$2</f>
        <v>0</v>
      </c>
    </row>
    <row r="127" spans="1:13">
      <c r="A127" s="18" t="s">
        <v>88</v>
      </c>
      <c r="B127" s="77">
        <f t="shared" ref="B127:F127" si="61">B77/B$2</f>
        <v>5959482.1048435997</v>
      </c>
      <c r="C127" s="77">
        <f t="shared" si="61"/>
        <v>3091820.101623293</v>
      </c>
      <c r="D127" s="77">
        <f t="shared" si="61"/>
        <v>1214999.716989011</v>
      </c>
      <c r="E127" s="77">
        <f t="shared" si="61"/>
        <v>-272574.65672402468</v>
      </c>
      <c r="F127" s="77">
        <f t="shared" si="61"/>
        <v>4804614.4701107116</v>
      </c>
    </row>
    <row r="128" spans="1:13">
      <c r="A128" t="s">
        <v>89</v>
      </c>
      <c r="B128" s="76">
        <f t="shared" ref="B128:F128" si="62">B78/B$2</f>
        <v>-343973.30332816747</v>
      </c>
      <c r="C128" s="76">
        <f t="shared" si="62"/>
        <v>-965634.36044870212</v>
      </c>
      <c r="D128" s="76">
        <f t="shared" si="62"/>
        <v>-2246231.3139310055</v>
      </c>
      <c r="E128" s="76">
        <f t="shared" si="62"/>
        <v>-1415165.6559059029</v>
      </c>
      <c r="F128" s="76">
        <f t="shared" si="62"/>
        <v>-1337212.4148703506</v>
      </c>
    </row>
    <row r="129" spans="1:6">
      <c r="A129" t="s">
        <v>78</v>
      </c>
      <c r="B129" s="76">
        <f t="shared" ref="B129:F129" si="63">B79/B$2</f>
        <v>0</v>
      </c>
      <c r="C129" s="76">
        <f t="shared" si="63"/>
        <v>0</v>
      </c>
      <c r="D129" s="76">
        <f t="shared" si="63"/>
        <v>0</v>
      </c>
      <c r="E129" s="76">
        <f t="shared" si="63"/>
        <v>0</v>
      </c>
      <c r="F129" s="76">
        <f t="shared" si="63"/>
        <v>0</v>
      </c>
    </row>
    <row r="130" spans="1:6">
      <c r="A130" s="18" t="s">
        <v>90</v>
      </c>
      <c r="B130" s="77">
        <f t="shared" ref="B130:F130" si="64">B80/B$2</f>
        <v>-343973.30332816747</v>
      </c>
      <c r="C130" s="77">
        <f t="shared" si="64"/>
        <v>-965634.36044870212</v>
      </c>
      <c r="D130" s="77">
        <f t="shared" si="64"/>
        <v>-2246231.3139310055</v>
      </c>
      <c r="E130" s="77">
        <f t="shared" si="64"/>
        <v>-1415165.6559059029</v>
      </c>
      <c r="F130" s="77">
        <f t="shared" si="64"/>
        <v>-1337212.4148703506</v>
      </c>
    </row>
    <row r="131" spans="1:6">
      <c r="A131" t="s">
        <v>54</v>
      </c>
      <c r="B131" s="76">
        <f t="shared" ref="B131:F131" si="65">B81/B$2</f>
        <v>-1533011.5296362331</v>
      </c>
      <c r="C131" s="76">
        <f t="shared" si="65"/>
        <v>-314186.19773816993</v>
      </c>
      <c r="D131" s="76">
        <f t="shared" si="65"/>
        <v>246665.25672238524</v>
      </c>
      <c r="E131" s="76">
        <f t="shared" si="65"/>
        <v>-953451.17273105262</v>
      </c>
      <c r="F131" s="76">
        <f t="shared" si="65"/>
        <v>-1713926.1937736857</v>
      </c>
    </row>
    <row r="132" spans="1:6">
      <c r="A132" t="s">
        <v>91</v>
      </c>
      <c r="B132" s="76">
        <f t="shared" ref="B132:F132" si="66">B82/B$2</f>
        <v>0</v>
      </c>
      <c r="C132" s="76">
        <f t="shared" si="66"/>
        <v>0</v>
      </c>
      <c r="D132" s="76">
        <f t="shared" si="66"/>
        <v>-3348202.2555579492</v>
      </c>
      <c r="E132" s="76">
        <f t="shared" si="66"/>
        <v>0</v>
      </c>
      <c r="F132" s="76">
        <f t="shared" si="66"/>
        <v>0</v>
      </c>
    </row>
    <row r="133" spans="1:6">
      <c r="A133" t="s">
        <v>78</v>
      </c>
      <c r="B133" s="76">
        <f t="shared" ref="B133:F133" si="67">B83/B$2</f>
        <v>0</v>
      </c>
      <c r="C133" s="76">
        <f t="shared" si="67"/>
        <v>0</v>
      </c>
      <c r="D133" s="76">
        <f t="shared" si="67"/>
        <v>0</v>
      </c>
      <c r="E133" s="76">
        <f t="shared" si="67"/>
        <v>0</v>
      </c>
      <c r="F133" s="76">
        <f t="shared" si="67"/>
        <v>0</v>
      </c>
    </row>
    <row r="134" spans="1:6">
      <c r="A134" s="18" t="s">
        <v>92</v>
      </c>
      <c r="B134" s="77">
        <f t="shared" ref="B134:F134" si="68">B84/B$2</f>
        <v>-1533011.5296362331</v>
      </c>
      <c r="C134" s="77">
        <f t="shared" si="68"/>
        <v>-314186.19773816993</v>
      </c>
      <c r="D134" s="77">
        <f t="shared" si="68"/>
        <v>-3101536.9988355641</v>
      </c>
      <c r="E134" s="77">
        <f t="shared" si="68"/>
        <v>-953451.17273105262</v>
      </c>
      <c r="F134" s="77">
        <f t="shared" si="68"/>
        <v>-1713926.1937736857</v>
      </c>
    </row>
    <row r="135" spans="1:6" ht="15" thickBot="1">
      <c r="A135" s="22" t="s">
        <v>93</v>
      </c>
      <c r="B135" s="78">
        <f t="shared" ref="B135:F135" si="69">B85/B$2</f>
        <v>4082497.271879199</v>
      </c>
      <c r="C135" s="78">
        <f t="shared" si="69"/>
        <v>1811999.5434364208</v>
      </c>
      <c r="D135" s="78">
        <f t="shared" si="69"/>
        <v>-4132768.5957775586</v>
      </c>
      <c r="E135" s="78">
        <f t="shared" si="69"/>
        <v>-2641191.48536098</v>
      </c>
      <c r="F135" s="78">
        <f t="shared" si="69"/>
        <v>1753475.8614666755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A17AF-A329-4A1D-988F-7E14169F97DC}">
  <dimension ref="A5:H32"/>
  <sheetViews>
    <sheetView showGridLines="0" zoomScale="73" zoomScaleNormal="73" workbookViewId="0">
      <selection activeCell="M22" sqref="M22"/>
    </sheetView>
  </sheetViews>
  <sheetFormatPr baseColWidth="10" defaultRowHeight="14.25"/>
  <cols>
    <col min="1" max="1" width="28.375" bestFit="1" customWidth="1"/>
    <col min="2" max="2" width="15.125" bestFit="1" customWidth="1"/>
    <col min="3" max="4" width="16.875" bestFit="1" customWidth="1"/>
    <col min="5" max="6" width="17.875" bestFit="1" customWidth="1"/>
  </cols>
  <sheetData>
    <row r="5" spans="1:8" ht="15">
      <c r="A5" s="46" t="s">
        <v>0</v>
      </c>
      <c r="B5" s="47">
        <v>2020</v>
      </c>
      <c r="C5" s="47">
        <v>2021</v>
      </c>
      <c r="D5" s="47">
        <v>2022</v>
      </c>
      <c r="E5" s="47">
        <v>2023</v>
      </c>
      <c r="F5" s="47">
        <v>2024</v>
      </c>
    </row>
    <row r="6" spans="1:8" ht="15">
      <c r="A6" s="177" t="s">
        <v>1</v>
      </c>
      <c r="B6" s="178"/>
      <c r="C6" s="178"/>
      <c r="D6" s="178"/>
      <c r="E6" s="178"/>
      <c r="F6" s="179"/>
    </row>
    <row r="7" spans="1:8">
      <c r="A7" s="3" t="s">
        <v>2</v>
      </c>
      <c r="B7" s="99">
        <f>'4) Financial Statements'!B$30/'4) Financial Statements'!B$44</f>
        <v>1.4177823208840483</v>
      </c>
      <c r="C7" s="99">
        <f>'4) Financial Statements'!C$30/'4) Financial Statements'!C$44</f>
        <v>1.5984384531535101</v>
      </c>
      <c r="D7" s="99">
        <f>'4) Financial Statements'!D$30/'4) Financial Statements'!D$44</f>
        <v>1.9900707652470542</v>
      </c>
      <c r="E7" s="99">
        <f>'4) Financial Statements'!E$30/'4) Financial Statements'!E$44</f>
        <v>1.8355941057318998</v>
      </c>
      <c r="F7" s="99">
        <f>'4) Financial Statements'!F$30/'4) Financial Statements'!F$44</f>
        <v>1.5616448023458396</v>
      </c>
    </row>
    <row r="8" spans="1:8">
      <c r="A8" s="3" t="s">
        <v>3</v>
      </c>
      <c r="B8" s="99">
        <f>('4) Financial Statements'!B$30-'4) Financial Statements'!B$28)/'4) Financial Statements'!B$44</f>
        <v>1.1067622681394169</v>
      </c>
      <c r="C8" s="99">
        <f>('4) Financial Statements'!C$30-'4) Financial Statements'!C$28)/'4) Financial Statements'!C$44</f>
        <v>1.2276487247984289</v>
      </c>
      <c r="D8" s="99">
        <f>('4) Financial Statements'!D$30-'4) Financial Statements'!D$28)/'4) Financial Statements'!D$44</f>
        <v>1.4083052984174376</v>
      </c>
      <c r="E8" s="99">
        <f>('4) Financial Statements'!E$30-'4) Financial Statements'!E$28)/'4) Financial Statements'!E$44</f>
        <v>1.2196276073776515</v>
      </c>
      <c r="F8" s="99">
        <f>('4) Financial Statements'!F$30-'4) Financial Statements'!F$28)/'4) Financial Statements'!F$44</f>
        <v>1.1486692027062697</v>
      </c>
    </row>
    <row r="9" spans="1:8">
      <c r="A9" s="3" t="s">
        <v>4</v>
      </c>
      <c r="B9" s="99">
        <f>('4) Financial Statements'!B$26+'4) Financial Statements'!B$27)/'4) Financial Statements'!B$44</f>
        <v>0.65433355636937762</v>
      </c>
      <c r="C9" s="99">
        <f>('4) Financial Statements'!C$26+'4) Financial Statements'!C$27)/'4) Financial Statements'!C$44</f>
        <v>0.72833256534849145</v>
      </c>
      <c r="D9" s="99">
        <f>('4) Financial Statements'!D$26+'4) Financial Statements'!D$27)/'4) Financial Statements'!D$44</f>
        <v>0.84205795909152992</v>
      </c>
      <c r="E9" s="99">
        <f>('4) Financial Statements'!E$26+'4) Financial Statements'!E$27)/'4) Financial Statements'!E$44</f>
        <v>0.85058033741747507</v>
      </c>
      <c r="F9" s="99">
        <f>('4) Financial Statements'!F$26+'4) Financial Statements'!F$27)/'4) Financial Statements'!F$44</f>
        <v>0.96344365990458292</v>
      </c>
    </row>
    <row r="10" spans="1:8">
      <c r="A10" s="3" t="s">
        <v>5</v>
      </c>
      <c r="B10" s="80">
        <f>'4) Financial Statements'!B$107-'4) Financial Statements'!B$115</f>
        <v>4854920.1831786372</v>
      </c>
      <c r="C10" s="80">
        <f>'4) Financial Statements'!C$107-'4) Financial Statements'!C$115</f>
        <v>10988147.22684681</v>
      </c>
      <c r="D10" s="80">
        <f>'4) Financial Statements'!D$107-'4) Financial Statements'!D$115</f>
        <v>12836305.450714573</v>
      </c>
      <c r="E10" s="80">
        <f>'4) Financial Statements'!E$107-'4) Financial Statements'!E$115</f>
        <v>9661184.2479312271</v>
      </c>
      <c r="F10" s="80">
        <f>'4) Financial Statements'!F$107-'4) Financial Statements'!F$115</f>
        <v>10144690.453304481</v>
      </c>
    </row>
    <row r="11" spans="1:8">
      <c r="A11" s="3" t="s">
        <v>197</v>
      </c>
      <c r="B11" s="100">
        <f>(('4) Financial Statements'!B53+('4) Financial Statements'!B39+'4) Financial Statements'!B45-'4) Financial Statements'!B26))/'4) Financial Statements'!B37)</f>
        <v>0.33403523356026665</v>
      </c>
      <c r="C11" s="100">
        <f>(('4) Financial Statements'!C53+('4) Financial Statements'!C39+'4) Financial Statements'!C45-'4) Financial Statements'!C26))/'4) Financial Statements'!C37)</f>
        <v>0.3648196376491924</v>
      </c>
      <c r="D11" s="100">
        <f>(('4) Financial Statements'!D53+('4) Financial Statements'!D39+'4) Financial Statements'!D45-'4) Financial Statements'!D26))/'4) Financial Statements'!D37)</f>
        <v>0.59915266744249596</v>
      </c>
      <c r="E11" s="100">
        <f>(('4) Financial Statements'!E53+('4) Financial Statements'!E39+'4) Financial Statements'!E45-'4) Financial Statements'!E26))/'4) Financial Statements'!E37)</f>
        <v>0.74337107532318081</v>
      </c>
      <c r="F11" s="100">
        <f>(('4) Financial Statements'!F53+('4) Financial Statements'!F39+'4) Financial Statements'!F45-'4) Financial Statements'!F26))/'4) Financial Statements'!F37)</f>
        <v>0.60484073868660304</v>
      </c>
      <c r="H11" s="121"/>
    </row>
    <row r="12" spans="1:8" ht="15">
      <c r="A12" s="177" t="s">
        <v>6</v>
      </c>
      <c r="B12" s="178"/>
      <c r="C12" s="178"/>
      <c r="D12" s="178"/>
      <c r="E12" s="178"/>
      <c r="F12" s="179"/>
    </row>
    <row r="13" spans="1:8">
      <c r="A13" s="3" t="s">
        <v>7</v>
      </c>
      <c r="B13" s="99">
        <f>'4) Financial Statements'!B52/'4) Financial Statements'!B53</f>
        <v>1.4423576761345398</v>
      </c>
      <c r="C13" s="99">
        <f>'4) Financial Statements'!C52/'4) Financial Statements'!C53</f>
        <v>1.139061276479957</v>
      </c>
      <c r="D13" s="99">
        <f>'4) Financial Statements'!D52/'4) Financial Statements'!D53</f>
        <v>0.6768263657166701</v>
      </c>
      <c r="E13" s="99">
        <f>'4) Financial Statements'!E52/'4) Financial Statements'!E53</f>
        <v>0.54762899135034449</v>
      </c>
      <c r="F13" s="99">
        <f>'4) Financial Statements'!F52/'4) Financial Statements'!F53</f>
        <v>0.68977818394372437</v>
      </c>
    </row>
    <row r="14" spans="1:8">
      <c r="A14" s="3" t="s">
        <v>8</v>
      </c>
      <c r="B14" s="99">
        <f>'4) Financial Statements'!B$52/'4) Financial Statements'!B$37</f>
        <v>0.59055956063623094</v>
      </c>
      <c r="C14" s="99">
        <f>'4) Financial Statements'!C$52/'4) Financial Statements'!C$37</f>
        <v>0.53250521104958637</v>
      </c>
      <c r="D14" s="99">
        <f>'4) Financial Statements'!D$52/'4) Financial Statements'!D$37</f>
        <v>0.40363533133461721</v>
      </c>
      <c r="E14" s="99">
        <f>'4) Financial Statements'!E$52/'4) Financial Statements'!E$37</f>
        <v>0.35385030547439195</v>
      </c>
      <c r="F14" s="99">
        <f>'4) Financial Statements'!F$52/'4) Financial Statements'!F$37</f>
        <v>0.40820634950669737</v>
      </c>
    </row>
    <row r="15" spans="1:8">
      <c r="A15" s="3" t="s">
        <v>9</v>
      </c>
      <c r="B15" s="99">
        <f>'4) Financial Statements'!B52/'4) Financial Statements'!B53</f>
        <v>1.4423576761345398</v>
      </c>
      <c r="C15" s="99">
        <f>'4) Financial Statements'!C52/'4) Financial Statements'!C53</f>
        <v>1.139061276479957</v>
      </c>
      <c r="D15" s="99">
        <f>'4) Financial Statements'!D52/'4) Financial Statements'!D53</f>
        <v>0.6768263657166701</v>
      </c>
      <c r="E15" s="99">
        <f>'4) Financial Statements'!E52/'4) Financial Statements'!E53</f>
        <v>0.54762899135034449</v>
      </c>
      <c r="F15" s="99">
        <f>'4) Financial Statements'!F52/'4) Financial Statements'!F53</f>
        <v>0.68977818394372437</v>
      </c>
    </row>
    <row r="16" spans="1:8">
      <c r="A16" s="3" t="s">
        <v>10</v>
      </c>
      <c r="B16" s="99">
        <f>'4) Financial Statements'!B$16/'4) Financial Statements'!B$19</f>
        <v>-1.7600830374810708</v>
      </c>
      <c r="C16" s="99">
        <f>'4) Financial Statements'!C$16/'4) Financial Statements'!C$19</f>
        <v>-3.8671768131662425</v>
      </c>
      <c r="D16" s="99">
        <f>'4) Financial Statements'!D$16/'4) Financial Statements'!D$19</f>
        <v>-1.5286183265482671</v>
      </c>
      <c r="E16" s="99">
        <f>'4) Financial Statements'!E$16/'4) Financial Statements'!E$19</f>
        <v>0.3429520893670347</v>
      </c>
      <c r="F16" s="99">
        <f>'4) Financial Statements'!F$16/'4) Financial Statements'!F$19</f>
        <v>-2.0190751078993836</v>
      </c>
    </row>
    <row r="17" spans="1:6">
      <c r="A17" s="3" t="s">
        <v>11</v>
      </c>
      <c r="B17" s="99">
        <f>('4) Financial Statements'!B$16+'4) Financial Statements'!B$60)/'4) Financial Statements'!B$19</f>
        <v>-1.8726598735331508</v>
      </c>
      <c r="C17" s="99">
        <f>('4) Financial Statements'!C$16+'4) Financial Statements'!C$60)/'4) Financial Statements'!C$19</f>
        <v>-4.064882810667072</v>
      </c>
      <c r="D17" s="99">
        <f>('4) Financial Statements'!D$16+'4) Financial Statements'!D$60)/'4) Financial Statements'!D$19</f>
        <v>-1.711109058462303</v>
      </c>
      <c r="E17" s="99">
        <f>('4) Financial Statements'!E$16+'4) Financial Statements'!E$60)/'4) Financial Statements'!E$19</f>
        <v>0.18710189763991353</v>
      </c>
      <c r="F17" s="99">
        <f>('4) Financial Statements'!F$16+'4) Financial Statements'!F$60)/'4) Financial Statements'!F$19</f>
        <v>-2.5340919543370619</v>
      </c>
    </row>
    <row r="18" spans="1:6">
      <c r="A18" s="3" t="s">
        <v>12</v>
      </c>
      <c r="B18" s="99">
        <f>'4) Financial Statements'!B$7/'4) Financial Statements'!B$27</f>
        <v>10.592988105400488</v>
      </c>
      <c r="C18" s="99">
        <f>'4) Financial Statements'!C$7/'4) Financial Statements'!C$27</f>
        <v>7.8313994992482625</v>
      </c>
      <c r="D18" s="99">
        <f>'4) Financial Statements'!D$7/'4) Financial Statements'!D$27</f>
        <v>10.042150223108029</v>
      </c>
      <c r="E18" s="99">
        <f>'4) Financial Statements'!E$7/'4) Financial Statements'!E$27</f>
        <v>7.0629372218131055</v>
      </c>
      <c r="F18" s="99">
        <f>'4) Financial Statements'!F$7/'4) Financial Statements'!F$27</f>
        <v>4.9565311125188876</v>
      </c>
    </row>
    <row r="19" spans="1:6">
      <c r="A19" s="3" t="s">
        <v>13</v>
      </c>
      <c r="B19" s="99">
        <f>('4) Financial Statements'!B$27/'4) Financial Statements'!B$7)*360</f>
        <v>33.984745042474444</v>
      </c>
      <c r="C19" s="99">
        <f>('4) Financial Statements'!C$27/'4) Financial Statements'!C$7)*360</f>
        <v>45.968795236988797</v>
      </c>
      <c r="D19" s="99">
        <f>('4) Financial Statements'!D$27/'4) Financial Statements'!D$7)*360</f>
        <v>35.848896103107748</v>
      </c>
      <c r="E19" s="99">
        <f>('4) Financial Statements'!E$27/'4) Financial Statements'!E$7)*360</f>
        <v>50.970295883160276</v>
      </c>
      <c r="F19" s="99">
        <f>('4) Financial Statements'!F$27/'4) Financial Statements'!F$7)*360</f>
        <v>72.631441592434498</v>
      </c>
    </row>
    <row r="20" spans="1:6">
      <c r="A20" s="3" t="s">
        <v>14</v>
      </c>
      <c r="B20" s="99">
        <f>-'4) Financial Statements'!B$8/'4) Financial Statements'!B$28</f>
        <v>5.0465430875632</v>
      </c>
      <c r="C20" s="99">
        <f>-'4) Financial Statements'!C$8/'4) Financial Statements'!C$28</f>
        <v>4.21665152178472</v>
      </c>
      <c r="D20" s="99">
        <f>-'4) Financial Statements'!D$8/'4) Financial Statements'!D$28</f>
        <v>4.5915448795360376</v>
      </c>
      <c r="E20" s="99">
        <f>-'4) Financial Statements'!E$8/'4) Financial Statements'!E$28</f>
        <v>3.8522761238840562</v>
      </c>
      <c r="F20" s="99">
        <f>-'4) Financial Statements'!F$8/'4) Financial Statements'!F$28</f>
        <v>5.1514425597702971</v>
      </c>
    </row>
    <row r="21" spans="1:6">
      <c r="A21" s="3" t="s">
        <v>15</v>
      </c>
      <c r="B21" s="99">
        <f>('4) Financial Statements'!B$28/(-'4) Financial Statements'!B$8))*360</f>
        <v>71.335960825776183</v>
      </c>
      <c r="C21" s="99">
        <f>('4) Financial Statements'!C$28/(-'4) Financial Statements'!C$8))*360</f>
        <v>85.375800712985665</v>
      </c>
      <c r="D21" s="99">
        <f>('4) Financial Statements'!D$28/(-'4) Financial Statements'!D$8))*360</f>
        <v>78.404983386850176</v>
      </c>
      <c r="E21" s="99">
        <f>('4) Financial Statements'!E$28/(-'4) Financial Statements'!E$8))*360</f>
        <v>93.45124503615024</v>
      </c>
      <c r="F21" s="99">
        <f>('4) Financial Statements'!F$28/(-'4) Financial Statements'!F$8))*360</f>
        <v>69.883337690957845</v>
      </c>
    </row>
    <row r="22" spans="1:6">
      <c r="A22" s="3" t="s">
        <v>16</v>
      </c>
      <c r="B22" s="99">
        <f>-('4) Financial Statements'!B38/'4) Financial Statements'!B8)*360</f>
        <v>60.899509806293842</v>
      </c>
      <c r="C22" s="99">
        <f>-('4) Financial Statements'!C38/'4) Financial Statements'!C8)*360</f>
        <v>32.108895145378291</v>
      </c>
      <c r="D22" s="99">
        <f>-('4) Financial Statements'!D38/'4) Financial Statements'!D8)*360</f>
        <v>37.933247771870974</v>
      </c>
      <c r="E22" s="99">
        <f>-('4) Financial Statements'!E38/'4) Financial Statements'!E8)*360</f>
        <v>15.17139677250443</v>
      </c>
      <c r="F22" s="99">
        <f>-('4) Financial Statements'!F38/'4) Financial Statements'!F8)*360</f>
        <v>43.828696208488232</v>
      </c>
    </row>
    <row r="23" spans="1:6">
      <c r="A23" s="3" t="s">
        <v>196</v>
      </c>
      <c r="B23" s="99">
        <f>'4) Financial Statements'!B37/'4) Financial Statements'!B53</f>
        <v>2.4423576761345398</v>
      </c>
      <c r="C23" s="99">
        <f>'4) Financial Statements'!C37/'4) Financial Statements'!C53</f>
        <v>2.139061276479957</v>
      </c>
      <c r="D23" s="99">
        <f>'4) Financial Statements'!D37/'4) Financial Statements'!D53</f>
        <v>1.6768263657166702</v>
      </c>
      <c r="E23" s="99">
        <f>'4) Financial Statements'!E37/'4) Financial Statements'!E53</f>
        <v>1.5476289913503445</v>
      </c>
      <c r="F23" s="99">
        <f>'4) Financial Statements'!F37/'4) Financial Statements'!F53</f>
        <v>1.6897781839437243</v>
      </c>
    </row>
    <row r="24" spans="1:6">
      <c r="A24" s="3" t="s">
        <v>17</v>
      </c>
      <c r="B24" s="99">
        <f>'4) Financial Statements'!B$7/'4) Financial Statements'!B$37</f>
        <v>1.3062149603095317</v>
      </c>
      <c r="C24" s="99">
        <f>'4) Financial Statements'!C$7/'4) Financial Statements'!C$37</f>
        <v>1.3127033045451186</v>
      </c>
      <c r="D24" s="99">
        <f>'4) Financial Statements'!D$7/'4) Financial Statements'!D$37</f>
        <v>1.5978695168599901</v>
      </c>
      <c r="E24" s="99">
        <f>'4) Financial Statements'!E$7/'4) Financial Statements'!E$37</f>
        <v>1.060440582152248</v>
      </c>
      <c r="F24" s="99">
        <f>'4) Financial Statements'!F$7/'4) Financial Statements'!F$37</f>
        <v>1.1695580470936258</v>
      </c>
    </row>
    <row r="25" spans="1:6" ht="15">
      <c r="A25" s="177" t="s">
        <v>18</v>
      </c>
      <c r="B25" s="178"/>
      <c r="C25" s="178"/>
      <c r="D25" s="178"/>
      <c r="E25" s="178"/>
      <c r="F25" s="179"/>
    </row>
    <row r="26" spans="1:6">
      <c r="A26" s="3" t="s">
        <v>19</v>
      </c>
      <c r="B26" s="99">
        <f>'4) Financial Statements'!B22/'4) Financial Statements'!B7</f>
        <v>8.3055108320557583E-2</v>
      </c>
      <c r="C26" s="99">
        <f>'4) Financial Statements'!C22/'4) Financial Statements'!C7</f>
        <v>0.14118142073224543</v>
      </c>
      <c r="D26" s="99">
        <f>'4) Financial Statements'!D22/'4) Financial Statements'!D7</f>
        <v>5.7045625214393381E-2</v>
      </c>
      <c r="E26" s="99">
        <f>'4) Financial Statements'!E22/'4) Financial Statements'!E7</f>
        <v>-0.14405042944341073</v>
      </c>
      <c r="F26" s="99">
        <f>'4) Financial Statements'!F22/'4) Financial Statements'!F7</f>
        <v>4.0576077022395074E-2</v>
      </c>
    </row>
    <row r="27" spans="1:6">
      <c r="A27" s="3" t="s">
        <v>20</v>
      </c>
      <c r="B27" s="99">
        <f>'4) Financial Statements'!B22/'4) Financial Statements'!B37</f>
        <v>0.10848782501844097</v>
      </c>
      <c r="C27" s="99">
        <f>'4) Financial Statements'!C22/'4) Financial Statements'!C37</f>
        <v>0.18532931753559329</v>
      </c>
      <c r="D27" s="99">
        <f>'4) Financial Statements'!D22/'4) Financial Statements'!D37</f>
        <v>9.1151465600298825E-2</v>
      </c>
      <c r="E27" s="99">
        <f>'4) Financial Statements'!E22/'4) Financial Statements'!E37</f>
        <v>-0.15275692125825183</v>
      </c>
      <c r="F27" s="99">
        <f>'4) Financial Statements'!F22/'4) Financial Statements'!F37</f>
        <v>4.7456077401032921E-2</v>
      </c>
    </row>
    <row r="28" spans="1:6">
      <c r="A28" s="3" t="s">
        <v>21</v>
      </c>
      <c r="B28" s="99">
        <f>'4) Financial Statements'!B22/'4) Financial Statements'!B53</f>
        <v>0.26496607220093005</v>
      </c>
      <c r="C28" s="99">
        <f>'4) Financial Statements'!C22/'4) Financial Statements'!C53</f>
        <v>0.39643076653684545</v>
      </c>
      <c r="D28" s="99">
        <f>'4) Financial Statements'!D22/'4) Financial Statements'!D53</f>
        <v>0.15284518079229714</v>
      </c>
      <c r="E28" s="99">
        <f>'4) Financial Statements'!E22/'4) Financial Statements'!E53</f>
        <v>-0.23641103996869225</v>
      </c>
      <c r="F28" s="99">
        <f>'4) Financial Statements'!F22/'4) Financial Statements'!F53</f>
        <v>8.0190244287810228E-2</v>
      </c>
    </row>
    <row r="29" spans="1:6">
      <c r="A29" s="3" t="s">
        <v>22</v>
      </c>
      <c r="B29" s="99">
        <f>'4) Financial Statements'!B16*(1-0.35)/('4) Financial Statements'!B53+('4) Financial Statements'!B39+'4) Financial Statements'!B45-'4) Financial Statements'!B26))</f>
        <v>0.58147824266839276</v>
      </c>
      <c r="C29" s="99">
        <f>'4) Financial Statements'!C16*(1-0.35)/('4) Financial Statements'!C53+('4) Financial Statements'!C39+'4) Financial Statements'!C45-'4) Financial Statements'!C26))</f>
        <v>0.57220375049277372</v>
      </c>
      <c r="D29" s="99">
        <f>'4) Financial Statements'!D16*(1-0.35)/('4) Financial Statements'!D53+('4) Financial Statements'!D39+'4) Financial Statements'!D45-'4) Financial Statements'!D26))</f>
        <v>0.22087924635466766</v>
      </c>
      <c r="E29" s="99">
        <f>'4) Financial Statements'!E16*(1-0.35)/('4) Financial Statements'!E53+('4) Financial Statements'!E39+'4) Financial Statements'!E45-'4) Financial Statements'!E26))</f>
        <v>-6.7642780200992791E-2</v>
      </c>
      <c r="F29" s="99">
        <f>'4) Financial Statements'!F16*(1-0.35)/('4) Financial Statements'!F53+('4) Financial Statements'!F39+'4) Financial Statements'!F45-'4) Financial Statements'!F26))</f>
        <v>0.11850713358321929</v>
      </c>
    </row>
    <row r="30" spans="1:6">
      <c r="A30" s="3" t="s">
        <v>23</v>
      </c>
      <c r="B30" s="99">
        <f>B26*B24*B23</f>
        <v>0.2649660722009301</v>
      </c>
      <c r="C30" s="99">
        <f t="shared" ref="C30:F30" si="0">C26*C24*C23</f>
        <v>0.3964307665368455</v>
      </c>
      <c r="D30" s="99">
        <f t="shared" si="0"/>
        <v>0.15284518079229717</v>
      </c>
      <c r="E30" s="99">
        <f t="shared" si="0"/>
        <v>-0.23641103996869223</v>
      </c>
      <c r="F30" s="99">
        <f t="shared" si="0"/>
        <v>8.0190244287810228E-2</v>
      </c>
    </row>
    <row r="32" spans="1:6">
      <c r="B32" s="96"/>
      <c r="C32" s="96"/>
      <c r="D32" s="96"/>
      <c r="E32" s="96"/>
      <c r="F32" s="96"/>
    </row>
  </sheetData>
  <mergeCells count="3">
    <mergeCell ref="A12:F12"/>
    <mergeCell ref="A6:F6"/>
    <mergeCell ref="A25:F2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20947-C38E-4DEB-A3C9-7A9B3CC45B41}">
  <dimension ref="A3:P80"/>
  <sheetViews>
    <sheetView showGridLines="0" zoomScale="53" zoomScaleNormal="53" workbookViewId="0">
      <pane ySplit="5" topLeftCell="A6" activePane="bottomLeft" state="frozen"/>
      <selection pane="bottomLeft" activeCell="H41" sqref="H41"/>
    </sheetView>
  </sheetViews>
  <sheetFormatPr baseColWidth="10" defaultRowHeight="14.25" outlineLevelRow="1"/>
  <cols>
    <col min="1" max="1" width="16.875" customWidth="1"/>
    <col min="2" max="2" width="18.375" bestFit="1" customWidth="1"/>
    <col min="3" max="3" width="18.75" bestFit="1" customWidth="1"/>
    <col min="4" max="4" width="18.375" bestFit="1" customWidth="1"/>
    <col min="5" max="5" width="19.375" bestFit="1" customWidth="1"/>
    <col min="6" max="7" width="19" bestFit="1" customWidth="1"/>
    <col min="8" max="8" width="19.375" bestFit="1" customWidth="1"/>
    <col min="9" max="9" width="19" bestFit="1" customWidth="1"/>
    <col min="10" max="10" width="19.375" bestFit="1" customWidth="1"/>
    <col min="11" max="11" width="19" bestFit="1" customWidth="1"/>
    <col min="12" max="12" width="21.875" bestFit="1" customWidth="1"/>
    <col min="15" max="15" width="16.25" bestFit="1" customWidth="1"/>
  </cols>
  <sheetData>
    <row r="3" spans="1:16">
      <c r="G3" s="56">
        <f>G7/F7-1</f>
        <v>0.31951456310679616</v>
      </c>
      <c r="H3" s="56">
        <f t="shared" ref="H3:L3" si="0">H7/G7-1</f>
        <v>0.11746341463414645</v>
      </c>
      <c r="I3" s="56">
        <f t="shared" si="0"/>
        <v>7.1792360430950275E-2</v>
      </c>
      <c r="J3" s="56">
        <f t="shared" si="0"/>
        <v>5.1369863013698724E-2</v>
      </c>
      <c r="K3" s="56">
        <f t="shared" si="0"/>
        <v>5.1859099804305364E-2</v>
      </c>
      <c r="L3" s="56">
        <f t="shared" si="0"/>
        <v>5.1859099804305364E-2</v>
      </c>
    </row>
    <row r="5" spans="1:16" ht="15">
      <c r="A5" s="37" t="s">
        <v>101</v>
      </c>
      <c r="B5" s="38">
        <v>2020</v>
      </c>
      <c r="C5" s="38">
        <v>2021</v>
      </c>
      <c r="D5" s="38">
        <v>2022</v>
      </c>
      <c r="E5" s="38">
        <v>2023</v>
      </c>
      <c r="F5" s="38">
        <v>2024</v>
      </c>
      <c r="G5" s="38">
        <v>2025</v>
      </c>
      <c r="H5" s="38" t="s">
        <v>29</v>
      </c>
      <c r="I5" s="38" t="s">
        <v>30</v>
      </c>
      <c r="J5" s="38" t="s">
        <v>31</v>
      </c>
      <c r="K5" s="38" t="s">
        <v>32</v>
      </c>
      <c r="L5" s="38" t="s">
        <v>33</v>
      </c>
    </row>
    <row r="6" spans="1:16">
      <c r="A6" s="44" t="s">
        <v>102</v>
      </c>
      <c r="B6" s="139">
        <f>'3) Macro'!$K7</f>
        <v>-9.9000000000000005E-2</v>
      </c>
      <c r="C6" s="139">
        <f>'3) Macro'!$K8</f>
        <v>0.10441812002456641</v>
      </c>
      <c r="D6" s="139">
        <f>'3) Macro'!$K9</f>
        <v>5.2698796689142346E-2</v>
      </c>
      <c r="E6" s="139">
        <f>'3) Macro'!$K10</f>
        <v>-1.6110016199314625E-2</v>
      </c>
      <c r="F6" s="139">
        <f>'3) Macro'!$K11</f>
        <v>-1.7191051502288723E-2</v>
      </c>
      <c r="G6" s="139">
        <f>'3) Macro'!$K12</f>
        <v>5.5E-2</v>
      </c>
      <c r="H6" s="139">
        <f>'3) Macro'!$K13</f>
        <v>4.4999999999999998E-2</v>
      </c>
      <c r="I6" s="139">
        <f>'3) Macro'!$K14</f>
        <v>0.04</v>
      </c>
      <c r="J6" s="139">
        <f>'3) Macro'!$K15</f>
        <v>3.2000000000000001E-2</v>
      </c>
      <c r="K6" s="139">
        <f>'3) Macro'!$K16</f>
        <v>3.1E-2</v>
      </c>
      <c r="L6" s="139">
        <f>'3) Macro'!$K17</f>
        <v>0.03</v>
      </c>
    </row>
    <row r="7" spans="1:16">
      <c r="A7" s="44" t="s">
        <v>103</v>
      </c>
      <c r="B7" s="140">
        <f>'3) Macro'!$J7</f>
        <v>122.63622377622364</v>
      </c>
      <c r="C7" s="140">
        <f>'3) Macro'!$J8</f>
        <v>164.48068493150674</v>
      </c>
      <c r="D7" s="140">
        <f>'3) Macro'!$J9</f>
        <v>250.58223367697596</v>
      </c>
      <c r="E7" s="140">
        <f>'3) Macro'!$J10</f>
        <v>573.54615384615374</v>
      </c>
      <c r="F7" s="140">
        <f>'3) Macro'!$J11</f>
        <v>1163.4084351145029</v>
      </c>
      <c r="G7" s="140">
        <f t="shared" ref="G7:L7" si="1">F7*(1+G8)/(1+G10)</f>
        <v>1535.1343729748746</v>
      </c>
      <c r="H7" s="140">
        <f t="shared" si="1"/>
        <v>1715.4564983467526</v>
      </c>
      <c r="I7" s="140">
        <f t="shared" si="1"/>
        <v>1838.6131695796785</v>
      </c>
      <c r="J7" s="140">
        <f t="shared" si="1"/>
        <v>1933.0624762361688</v>
      </c>
      <c r="K7" s="140">
        <f t="shared" si="1"/>
        <v>2033.3093561192579</v>
      </c>
      <c r="L7" s="140">
        <f t="shared" si="1"/>
        <v>2138.7549489512744</v>
      </c>
    </row>
    <row r="8" spans="1:16">
      <c r="A8" s="44" t="s">
        <v>109</v>
      </c>
      <c r="B8" s="141">
        <v>0.42</v>
      </c>
      <c r="C8" s="139">
        <v>0.48399999999999999</v>
      </c>
      <c r="D8" s="139">
        <v>0.72430000000000005</v>
      </c>
      <c r="E8" s="139">
        <v>1.3348</v>
      </c>
      <c r="F8" s="139">
        <v>2.1987999999999999</v>
      </c>
      <c r="G8" s="139">
        <v>0.35909999999999997</v>
      </c>
      <c r="H8" s="139">
        <v>0.1454</v>
      </c>
      <c r="I8" s="139">
        <v>9.4299999999999995E-2</v>
      </c>
      <c r="J8" s="139">
        <v>7.4499999999999997E-2</v>
      </c>
      <c r="K8" s="139">
        <v>7.4999999999999997E-2</v>
      </c>
      <c r="L8" s="139">
        <v>7.4999999999999997E-2</v>
      </c>
    </row>
    <row r="9" spans="1:16">
      <c r="A9" s="44" t="s">
        <v>104</v>
      </c>
      <c r="B9" s="142">
        <f>'3) Macro'!$I7</f>
        <v>0.36099999999999999</v>
      </c>
      <c r="C9" s="142">
        <f>'3) Macro'!$I8</f>
        <v>0.50941633543466325</v>
      </c>
      <c r="D9" s="142">
        <f>'3) Macro'!$I9</f>
        <v>0.9479318233519185</v>
      </c>
      <c r="E9" s="142">
        <f>'3) Macro'!$I10</f>
        <v>2.114076437471768</v>
      </c>
      <c r="F9" s="142">
        <f>'3) Macro'!$I11</f>
        <v>1.1776362746413853</v>
      </c>
      <c r="G9" s="142">
        <f>'3) Macro'!$I12</f>
        <v>0.35899999999999999</v>
      </c>
      <c r="H9" s="142">
        <f>'3) Macro'!$I13</f>
        <v>0.14499999999999999</v>
      </c>
      <c r="I9" s="142">
        <f>'3) Macro'!$I14</f>
        <v>9.4E-2</v>
      </c>
      <c r="J9" s="142">
        <f>'3) Macro'!$I15</f>
        <v>7.4999999999999997E-2</v>
      </c>
      <c r="K9" s="142">
        <f>'3) Macro'!$I16</f>
        <v>7.4999999999999997E-2</v>
      </c>
      <c r="L9" s="142">
        <f>'3) Macro'!$I17</f>
        <v>7.4999999999999997E-2</v>
      </c>
    </row>
    <row r="10" spans="1:16">
      <c r="A10" s="44" t="s">
        <v>219</v>
      </c>
      <c r="B10" s="87"/>
      <c r="C10" s="87"/>
      <c r="D10" s="87"/>
      <c r="E10" s="87"/>
      <c r="F10" s="87"/>
      <c r="G10" s="112">
        <v>0.03</v>
      </c>
      <c r="H10" s="112">
        <v>2.5000000000000001E-2</v>
      </c>
      <c r="I10" s="112">
        <v>2.1000000000000001E-2</v>
      </c>
      <c r="J10" s="112">
        <v>2.1999999999999999E-2</v>
      </c>
      <c r="K10" s="112">
        <v>2.1999999999999999E-2</v>
      </c>
      <c r="L10" s="112">
        <v>2.1999999999999999E-2</v>
      </c>
    </row>
    <row r="11" spans="1:16" ht="15">
      <c r="A11" s="44" t="s">
        <v>223</v>
      </c>
      <c r="B11" s="87"/>
      <c r="C11" s="87"/>
      <c r="D11" s="87"/>
      <c r="E11" s="87"/>
      <c r="F11" s="114">
        <f>'2) Research'!O22</f>
        <v>112183500</v>
      </c>
      <c r="G11" s="113">
        <f>F11*(1+G8)</f>
        <v>152468594.84999999</v>
      </c>
      <c r="H11" s="113">
        <f t="shared" ref="H11:L11" si="2">G11*(1+H8)</f>
        <v>174637528.54119</v>
      </c>
      <c r="I11" s="113">
        <f t="shared" si="2"/>
        <v>191105847.48262423</v>
      </c>
      <c r="J11" s="113">
        <f t="shared" si="2"/>
        <v>205343233.12007973</v>
      </c>
      <c r="K11" s="113">
        <f t="shared" si="2"/>
        <v>220743975.60408568</v>
      </c>
      <c r="L11" s="113">
        <f t="shared" si="2"/>
        <v>237299773.7743921</v>
      </c>
    </row>
    <row r="12" spans="1:16" ht="15">
      <c r="A12" s="44"/>
      <c r="B12" s="87"/>
      <c r="C12" s="87"/>
      <c r="D12" s="87"/>
      <c r="E12" s="87"/>
      <c r="F12" s="114"/>
      <c r="G12" s="113"/>
      <c r="H12" s="113"/>
      <c r="I12" s="113"/>
      <c r="J12" s="113"/>
      <c r="K12" s="113"/>
      <c r="L12" s="113"/>
    </row>
    <row r="13" spans="1:16" ht="15.75">
      <c r="A13" s="36" t="s">
        <v>105</v>
      </c>
      <c r="G13" s="147">
        <f>G14/F14-1</f>
        <v>0.33765788834951449</v>
      </c>
      <c r="H13" s="147">
        <f t="shared" ref="H13:L13" si="3">H14/G14-1</f>
        <v>0.13003487804878056</v>
      </c>
      <c r="I13" s="147">
        <f t="shared" si="3"/>
        <v>8.251028403525984E-2</v>
      </c>
      <c r="J13" s="147">
        <f t="shared" si="3"/>
        <v>5.9780821917808202E-2</v>
      </c>
      <c r="K13" s="147">
        <f t="shared" si="3"/>
        <v>6.0011007827788676E-2</v>
      </c>
      <c r="L13" s="147">
        <f t="shared" si="3"/>
        <v>5.9748043052837874E-2</v>
      </c>
      <c r="M13" s="95">
        <f>AVERAGE(G13:L13)</f>
        <v>0.12162382053866494</v>
      </c>
      <c r="O13" t="s">
        <v>240</v>
      </c>
      <c r="P13" s="85">
        <f>M13</f>
        <v>0.12162382053866494</v>
      </c>
    </row>
    <row r="14" spans="1:16" ht="15">
      <c r="A14" s="35" t="s">
        <v>24</v>
      </c>
      <c r="B14" s="76">
        <f>B15*B16</f>
        <v>3640221476</v>
      </c>
      <c r="C14" s="76">
        <f t="shared" ref="C14:E14" si="4">C15*C16</f>
        <v>7933240381</v>
      </c>
      <c r="D14" s="76">
        <f t="shared" si="4"/>
        <v>14658891753</v>
      </c>
      <c r="E14" s="76">
        <f t="shared" si="4"/>
        <v>22474661058</v>
      </c>
      <c r="F14" s="76">
        <f>F15*F16</f>
        <v>63697863191</v>
      </c>
      <c r="G14" s="76">
        <f>G15*G16</f>
        <v>85205949168.449326</v>
      </c>
      <c r="H14" s="76">
        <f t="shared" ref="H14:K14" si="5">H15*H16</f>
        <v>96285694377.599228</v>
      </c>
      <c r="I14" s="76">
        <f t="shared" si="5"/>
        <v>104230254369.22716</v>
      </c>
      <c r="J14" s="76">
        <f t="shared" si="5"/>
        <v>110461224644.12178</v>
      </c>
      <c r="K14" s="76">
        <f t="shared" si="5"/>
        <v>117090114060.90729</v>
      </c>
      <c r="L14" s="76">
        <f>L15*L16</f>
        <v>124086019236.88007</v>
      </c>
      <c r="M14" s="95"/>
      <c r="O14" t="s">
        <v>241</v>
      </c>
      <c r="P14" s="85">
        <f>M17</f>
        <v>0.10221334319355779</v>
      </c>
    </row>
    <row r="15" spans="1:16">
      <c r="A15" t="s">
        <v>106</v>
      </c>
      <c r="B15" s="125">
        <f>'4) Financial Statements'!B7/'6) Proyecciones'!$B16</f>
        <v>9239140.8020304572</v>
      </c>
      <c r="C15" s="125">
        <f>'4) Financial Statements'!C7/'6) Proyecciones'!$C16</f>
        <v>16527584.127083333</v>
      </c>
      <c r="D15" s="125">
        <f>'4) Financial Statements'!D7/'6) Proyecciones'!$D16</f>
        <v>30038712.608606558</v>
      </c>
      <c r="E15" s="125">
        <f>'4) Financial Statements'!E7/'6) Proyecciones'!$E16</f>
        <v>96873539.043103442</v>
      </c>
      <c r="F15" s="126">
        <f>'4) Financial Statements'!$F7/'6) Proyecciones'!$F16</f>
        <v>199679821.91536051</v>
      </c>
      <c r="G15" s="127">
        <f>F15*(1+G3)</f>
        <v>263480432.97588977</v>
      </c>
      <c r="H15" s="127">
        <f t="shared" ref="H15:L15" si="6">G15*(1+H3)</f>
        <v>294429744.32252115</v>
      </c>
      <c r="I15" s="127">
        <f t="shared" si="6"/>
        <v>315567550.64851612</v>
      </c>
      <c r="J15" s="127">
        <f t="shared" si="6"/>
        <v>331778212.49689883</v>
      </c>
      <c r="K15" s="127">
        <f t="shared" si="6"/>
        <v>348983931.93166953</v>
      </c>
      <c r="L15" s="127">
        <f t="shared" si="6"/>
        <v>367081924.48781288</v>
      </c>
      <c r="M15" s="95"/>
      <c r="O15" t="s">
        <v>242</v>
      </c>
      <c r="P15" s="85">
        <f>M24</f>
        <v>5.0000000000000044E-2</v>
      </c>
    </row>
    <row r="16" spans="1:16">
      <c r="A16" t="s">
        <v>107</v>
      </c>
      <c r="B16" s="123">
        <v>394</v>
      </c>
      <c r="C16" s="123">
        <v>480</v>
      </c>
      <c r="D16" s="123">
        <v>488</v>
      </c>
      <c r="E16" s="123">
        <v>232</v>
      </c>
      <c r="F16" s="123">
        <v>319</v>
      </c>
      <c r="G16" s="128">
        <f>F16*(1+G6*$M$16)</f>
        <v>323.38624999999996</v>
      </c>
      <c r="H16" s="128">
        <f t="shared" ref="H16:L16" si="7">G16*(1+H6*$M$16)</f>
        <v>327.02434531249997</v>
      </c>
      <c r="I16" s="128">
        <f t="shared" si="7"/>
        <v>330.29458876562495</v>
      </c>
      <c r="J16" s="128">
        <f t="shared" si="7"/>
        <v>332.93694547574995</v>
      </c>
      <c r="K16" s="128">
        <f t="shared" si="7"/>
        <v>335.51720680318698</v>
      </c>
      <c r="L16" s="128">
        <f t="shared" si="7"/>
        <v>338.03358585421091</v>
      </c>
      <c r="M16" s="95">
        <f>1/4</f>
        <v>0.25</v>
      </c>
      <c r="O16" t="s">
        <v>243</v>
      </c>
      <c r="P16" s="67">
        <f>M31</f>
        <v>4.7210614240618599E-2</v>
      </c>
    </row>
    <row r="17" spans="1:16">
      <c r="G17" s="147">
        <f>G18/F18-1</f>
        <v>0.22119502427887161</v>
      </c>
      <c r="H17" s="147">
        <f t="shared" ref="H17:L17" si="8">H18/G18-1</f>
        <v>0.13003487804878056</v>
      </c>
      <c r="I17" s="147">
        <f t="shared" si="8"/>
        <v>8.251028403525984E-2</v>
      </c>
      <c r="J17" s="147">
        <f t="shared" si="8"/>
        <v>5.9780821917808202E-2</v>
      </c>
      <c r="K17" s="147">
        <f t="shared" si="8"/>
        <v>6.0011007827788676E-2</v>
      </c>
      <c r="L17" s="147">
        <f t="shared" si="8"/>
        <v>5.9748043052837874E-2</v>
      </c>
      <c r="M17" s="95">
        <f t="shared" ref="M17" si="9">AVERAGE(G17:L17)</f>
        <v>0.10221334319355779</v>
      </c>
      <c r="O17" t="s">
        <v>39</v>
      </c>
      <c r="P17" s="67">
        <f>M38</f>
        <v>0.14720253890992807</v>
      </c>
    </row>
    <row r="18" spans="1:16" ht="15">
      <c r="A18" s="35" t="s">
        <v>108</v>
      </c>
      <c r="B18" s="64">
        <f>'4) Financial Statements'!B8</f>
        <v>-2236831045</v>
      </c>
      <c r="C18" s="64">
        <f>'4) Financial Statements'!C8</f>
        <v>-4721883737</v>
      </c>
      <c r="D18" s="64">
        <f>'4) Financial Statements'!D8</f>
        <v>-8678223967</v>
      </c>
      <c r="E18" s="64">
        <f>'4) Financial Statements'!E8</f>
        <v>-15735402981</v>
      </c>
      <c r="F18" s="64">
        <f>'4) Financial Statements'!F8</f>
        <v>-44705660747</v>
      </c>
      <c r="G18" s="64">
        <f t="shared" ref="G18:L18" si="10">-G14*G21</f>
        <v>-54594330461.335663</v>
      </c>
      <c r="H18" s="64">
        <f t="shared" si="10"/>
        <v>-61693497565.030273</v>
      </c>
      <c r="I18" s="64">
        <f t="shared" si="10"/>
        <v>-66783845572.249527</v>
      </c>
      <c r="J18" s="64">
        <f t="shared" si="10"/>
        <v>-70776238751.390579</v>
      </c>
      <c r="K18" s="64">
        <f t="shared" si="10"/>
        <v>-75023592169.121719</v>
      </c>
      <c r="L18" s="64">
        <f t="shared" si="10"/>
        <v>-79506104984.02095</v>
      </c>
      <c r="M18">
        <v>1.05</v>
      </c>
      <c r="O18" t="s">
        <v>194</v>
      </c>
      <c r="P18" s="67">
        <f>M41</f>
        <v>0.12000000000000011</v>
      </c>
    </row>
    <row r="19" spans="1:16">
      <c r="A19" s="102" t="s">
        <v>227</v>
      </c>
      <c r="B19" s="64">
        <v>1668743774</v>
      </c>
      <c r="C19" s="64">
        <v>3897388878</v>
      </c>
      <c r="D19" s="64">
        <v>5817495144</v>
      </c>
      <c r="E19" s="64">
        <v>7536654745</v>
      </c>
      <c r="F19" s="64">
        <v>31332654679</v>
      </c>
      <c r="G19" s="64">
        <f>-G18*G22</f>
        <v>37360008979.431786</v>
      </c>
      <c r="H19" s="64">
        <f t="shared" ref="H19:L19" si="11">-H18*H22</f>
        <v>41456691917.778114</v>
      </c>
      <c r="I19" s="64">
        <f t="shared" si="11"/>
        <v>42828229816.821953</v>
      </c>
      <c r="J19" s="64">
        <f t="shared" si="11"/>
        <v>44977195769.323082</v>
      </c>
      <c r="K19" s="64">
        <f t="shared" si="11"/>
        <v>50024902279.279274</v>
      </c>
      <c r="L19" s="64">
        <f t="shared" si="11"/>
        <v>52471933759.735855</v>
      </c>
    </row>
    <row r="20" spans="1:16">
      <c r="A20" s="102" t="s">
        <v>228</v>
      </c>
      <c r="B20" s="64">
        <v>568087271</v>
      </c>
      <c r="C20" s="64">
        <v>824494859</v>
      </c>
      <c r="D20" s="64">
        <v>2860728823</v>
      </c>
      <c r="E20" s="64">
        <v>8198748236</v>
      </c>
      <c r="F20" s="64">
        <v>13373006068</v>
      </c>
      <c r="G20" s="64">
        <f>-G23*G18</f>
        <v>17234321481.903881</v>
      </c>
      <c r="H20" s="64">
        <f t="shared" ref="H20:L20" si="12">-H23*H18</f>
        <v>20236805647.252159</v>
      </c>
      <c r="I20" s="64">
        <f t="shared" si="12"/>
        <v>23955615755.427567</v>
      </c>
      <c r="J20" s="64">
        <f t="shared" si="12"/>
        <v>25799042982.067505</v>
      </c>
      <c r="K20" s="64">
        <f t="shared" si="12"/>
        <v>24998689889.842442</v>
      </c>
      <c r="L20" s="64">
        <f t="shared" si="12"/>
        <v>27034171224.285099</v>
      </c>
    </row>
    <row r="21" spans="1:16">
      <c r="A21" s="102" t="s">
        <v>198</v>
      </c>
      <c r="B21" s="95">
        <f>-B18/B14</f>
        <v>0.61447663548699971</v>
      </c>
      <c r="C21" s="95">
        <f>-C18/C14</f>
        <v>0.59520240283010273</v>
      </c>
      <c r="D21" s="95">
        <f>-D18/D14</f>
        <v>0.5920109182349319</v>
      </c>
      <c r="E21" s="95">
        <f>-E18/E14</f>
        <v>0.70013972359324561</v>
      </c>
      <c r="F21" s="95">
        <f>-F18/F14</f>
        <v>0.70183925342909392</v>
      </c>
      <c r="G21" s="85">
        <f>AVERAGE(B21:F21)</f>
        <v>0.64073378671487469</v>
      </c>
      <c r="H21" s="85">
        <f>G21</f>
        <v>0.64073378671487469</v>
      </c>
      <c r="I21" s="85">
        <f t="shared" ref="I21:L21" si="13">H21</f>
        <v>0.64073378671487469</v>
      </c>
      <c r="J21" s="85">
        <f t="shared" si="13"/>
        <v>0.64073378671487469</v>
      </c>
      <c r="K21" s="85">
        <f t="shared" si="13"/>
        <v>0.64073378671487469</v>
      </c>
      <c r="L21" s="85">
        <f t="shared" si="13"/>
        <v>0.64073378671487469</v>
      </c>
    </row>
    <row r="22" spans="1:16">
      <c r="A22" s="102" t="s">
        <v>233</v>
      </c>
      <c r="B22" s="95">
        <f>-B19/B18</f>
        <v>0.7460303171892001</v>
      </c>
      <c r="C22" s="95">
        <f t="shared" ref="C22:F22" si="14">-C19/C18</f>
        <v>0.82538857267082266</v>
      </c>
      <c r="D22" s="95">
        <f t="shared" si="14"/>
        <v>0.67035549740612033</v>
      </c>
      <c r="E22" s="95">
        <f t="shared" si="14"/>
        <v>0.47896166079129154</v>
      </c>
      <c r="F22" s="95">
        <f t="shared" si="14"/>
        <v>0.70086548672927507</v>
      </c>
      <c r="G22" s="85">
        <f t="shared" ref="G22:G23" si="15">AVERAGE(B22:F22)</f>
        <v>0.68432030695734192</v>
      </c>
      <c r="H22" s="85">
        <f t="shared" ref="H22:H23" si="16">AVERAGE(C22:G22)</f>
        <v>0.67197830491097021</v>
      </c>
      <c r="I22" s="85">
        <f t="shared" ref="I22:I23" si="17">AVERAGE(D22:H22)</f>
        <v>0.6412962513589997</v>
      </c>
      <c r="J22" s="85">
        <f t="shared" ref="J22:J23" si="18">AVERAGE(E22:I22)</f>
        <v>0.6354844021495758</v>
      </c>
      <c r="K22" s="85">
        <f t="shared" ref="K22:K23" si="19">AVERAGE(F22:J22)</f>
        <v>0.66678895042123254</v>
      </c>
      <c r="L22" s="85">
        <f t="shared" ref="L22:L23" si="20">AVERAGE(G22:K22)</f>
        <v>0.65997364315962415</v>
      </c>
    </row>
    <row r="23" spans="1:16">
      <c r="A23" s="102" t="s">
        <v>233</v>
      </c>
      <c r="B23" s="122">
        <f>-B20/B18</f>
        <v>0.25396968281079985</v>
      </c>
      <c r="C23" s="122">
        <f t="shared" ref="C23:F23" si="21">-C20/C18</f>
        <v>0.17461142732917737</v>
      </c>
      <c r="D23" s="122">
        <f t="shared" si="21"/>
        <v>0.32964450259387962</v>
      </c>
      <c r="E23" s="122">
        <f t="shared" si="21"/>
        <v>0.52103833920870846</v>
      </c>
      <c r="F23" s="122">
        <f t="shared" si="21"/>
        <v>0.29913451327072499</v>
      </c>
      <c r="G23" s="85">
        <f t="shared" si="15"/>
        <v>0.31567969304265808</v>
      </c>
      <c r="H23" s="85">
        <f t="shared" si="16"/>
        <v>0.32802169508902973</v>
      </c>
      <c r="I23" s="85">
        <f t="shared" si="17"/>
        <v>0.35870374864100019</v>
      </c>
      <c r="J23" s="85">
        <f t="shared" si="18"/>
        <v>0.36451559785042431</v>
      </c>
      <c r="K23" s="85">
        <f t="shared" si="19"/>
        <v>0.3332110495787674</v>
      </c>
      <c r="L23" s="85">
        <f t="shared" si="20"/>
        <v>0.34002635684037591</v>
      </c>
    </row>
    <row r="24" spans="1:16">
      <c r="B24" s="123"/>
      <c r="C24" s="123"/>
      <c r="D24" s="123"/>
      <c r="E24" s="123"/>
      <c r="F24" s="123"/>
      <c r="G24" s="148">
        <f>G25/F25-1</f>
        <v>5.0000000000000044E-2</v>
      </c>
      <c r="H24" s="148">
        <f t="shared" ref="H24:L24" si="22">H25/G25-1</f>
        <v>5.0000000000000044E-2</v>
      </c>
      <c r="I24" s="148">
        <f t="shared" si="22"/>
        <v>5.0000000000000044E-2</v>
      </c>
      <c r="J24" s="148">
        <f t="shared" si="22"/>
        <v>5.0000000000000044E-2</v>
      </c>
      <c r="K24" s="148">
        <f t="shared" si="22"/>
        <v>5.0000000000000044E-2</v>
      </c>
      <c r="L24" s="148">
        <f t="shared" si="22"/>
        <v>5.0000000000000044E-2</v>
      </c>
      <c r="M24" s="149">
        <f>AVERAGE(G24:L24)</f>
        <v>5.0000000000000044E-2</v>
      </c>
    </row>
    <row r="25" spans="1:16" ht="15">
      <c r="A25" s="35" t="s">
        <v>27</v>
      </c>
      <c r="B25" s="64">
        <f>'4) Financial Statements'!$B10</f>
        <v>-386635412</v>
      </c>
      <c r="C25" s="64">
        <f>'4) Financial Statements'!$C10</f>
        <v>-754386815</v>
      </c>
      <c r="D25" s="64">
        <f>'4) Financial Statements'!$D10</f>
        <v>-1621608974</v>
      </c>
      <c r="E25" s="64">
        <f>'4) Financial Statements'!$E10</f>
        <v>-4189118364</v>
      </c>
      <c r="F25" s="64">
        <f>'4) Financial Statements'!$F10</f>
        <v>-9936762045</v>
      </c>
      <c r="G25" s="64">
        <f>F25*$M$25</f>
        <v>-10433600147.25</v>
      </c>
      <c r="H25" s="64">
        <f t="shared" ref="H25:L25" si="23">G25*$M$25</f>
        <v>-10955280154.612501</v>
      </c>
      <c r="I25" s="64">
        <f t="shared" si="23"/>
        <v>-11503044162.343126</v>
      </c>
      <c r="J25" s="64">
        <f t="shared" si="23"/>
        <v>-12078196370.460283</v>
      </c>
      <c r="K25" s="64">
        <f t="shared" si="23"/>
        <v>-12682106188.983297</v>
      </c>
      <c r="L25" s="64">
        <f t="shared" si="23"/>
        <v>-13316211498.432463</v>
      </c>
      <c r="M25">
        <v>1.05</v>
      </c>
    </row>
    <row r="26" spans="1:16">
      <c r="A26" s="102" t="s">
        <v>230</v>
      </c>
      <c r="B26" s="64">
        <f>'4) Financial Statements'!$B11</f>
        <v>183116829</v>
      </c>
      <c r="C26" s="64">
        <f>'4) Financial Statements'!$C11</f>
        <v>358109025</v>
      </c>
      <c r="D26" s="64">
        <f>'4) Financial Statements'!$D11</f>
        <v>796614304</v>
      </c>
      <c r="E26" s="64">
        <f>'4) Financial Statements'!$E11</f>
        <v>1824457306</v>
      </c>
      <c r="F26" s="64">
        <f>'4) Financial Statements'!$F11</f>
        <v>4852573989</v>
      </c>
      <c r="G26" s="64">
        <f>-G29*G25</f>
        <v>5501770263.436141</v>
      </c>
      <c r="H26" s="64">
        <f t="shared" ref="H26:L26" si="24">-H29*H25</f>
        <v>5778894327.2081985</v>
      </c>
      <c r="I26" s="64">
        <f t="shared" si="24"/>
        <v>6072901923.9649563</v>
      </c>
      <c r="J26" s="64">
        <f t="shared" si="24"/>
        <v>6422898298.2101564</v>
      </c>
      <c r="K26" s="64">
        <f t="shared" si="24"/>
        <v>6661100349.4505424</v>
      </c>
      <c r="L26" s="64">
        <f t="shared" si="24"/>
        <v>7030326790.3150263</v>
      </c>
    </row>
    <row r="27" spans="1:16">
      <c r="A27" s="102" t="s">
        <v>229</v>
      </c>
      <c r="B27" s="64">
        <f>'4) Financial Statements'!$B12</f>
        <v>203518583</v>
      </c>
      <c r="C27" s="64">
        <f>'4) Financial Statements'!$C12</f>
        <v>396277790</v>
      </c>
      <c r="D27" s="64">
        <f>'4) Financial Statements'!$D12</f>
        <v>824994670</v>
      </c>
      <c r="E27" s="64">
        <f>'4) Financial Statements'!$E12</f>
        <v>2364661058</v>
      </c>
      <c r="F27" s="64">
        <f>'4) Financial Statements'!$F12</f>
        <v>5084188056</v>
      </c>
      <c r="G27" s="64">
        <f>-G30*G25</f>
        <v>4931829883.813859</v>
      </c>
      <c r="H27" s="64">
        <f t="shared" ref="H27:L27" si="25">-H30*H25</f>
        <v>5176385827.4043036</v>
      </c>
      <c r="I27" s="64">
        <f t="shared" si="25"/>
        <v>5430142238.37817</v>
      </c>
      <c r="J27" s="64">
        <f t="shared" si="25"/>
        <v>5655298072.2501278</v>
      </c>
      <c r="K27" s="64">
        <f t="shared" si="25"/>
        <v>6021005839.5327539</v>
      </c>
      <c r="L27" s="64">
        <f t="shared" si="25"/>
        <v>6285884708.1174374</v>
      </c>
    </row>
    <row r="28" spans="1:16">
      <c r="A28" s="102" t="s">
        <v>232</v>
      </c>
      <c r="B28" s="56">
        <f>-B25/B14</f>
        <v>0.10621205730175742</v>
      </c>
      <c r="C28" s="56">
        <f>-C25/C14</f>
        <v>9.509188916129982E-2</v>
      </c>
      <c r="D28" s="56">
        <f>-D25/D14</f>
        <v>0.11062289027873688</v>
      </c>
      <c r="E28" s="56">
        <f>-E25/E14</f>
        <v>0.18639294951720112</v>
      </c>
      <c r="F28" s="56">
        <f>-F25/F14</f>
        <v>0.15599835767181566</v>
      </c>
      <c r="G28" s="67">
        <f>F28*$M$25</f>
        <v>0.16379827555540646</v>
      </c>
      <c r="H28" s="67">
        <f t="shared" ref="H28:I28" si="26">G28*(1.05)</f>
        <v>0.17198818933317681</v>
      </c>
      <c r="I28" s="67">
        <f t="shared" si="26"/>
        <v>0.18058759879983566</v>
      </c>
      <c r="J28" s="67">
        <f>I28</f>
        <v>0.18058759879983566</v>
      </c>
      <c r="K28" s="67">
        <f>J28</f>
        <v>0.18058759879983566</v>
      </c>
      <c r="L28" s="67">
        <f>K28</f>
        <v>0.18058759879983566</v>
      </c>
    </row>
    <row r="29" spans="1:16">
      <c r="A29" s="102" t="s">
        <v>231</v>
      </c>
      <c r="B29" s="122">
        <f>-B27/B25</f>
        <v>0.52638371107093518</v>
      </c>
      <c r="C29" s="122">
        <f t="shared" ref="C29:F29" si="27">-C27/C25</f>
        <v>0.52529787387654703</v>
      </c>
      <c r="D29" s="122">
        <f t="shared" si="27"/>
        <v>0.50875068109977051</v>
      </c>
      <c r="E29" s="122">
        <f t="shared" si="27"/>
        <v>0.56447702178128289</v>
      </c>
      <c r="F29" s="122">
        <f t="shared" si="27"/>
        <v>0.51165440341386381</v>
      </c>
      <c r="G29" s="67">
        <f>AVERAGE(B29:F29)</f>
        <v>0.52731273824847991</v>
      </c>
      <c r="H29" s="67">
        <f t="shared" ref="H29:L29" si="28">AVERAGE(C29:G29)</f>
        <v>0.52749854368398885</v>
      </c>
      <c r="I29" s="67">
        <f t="shared" si="28"/>
        <v>0.52793867764547719</v>
      </c>
      <c r="J29" s="67">
        <f t="shared" si="28"/>
        <v>0.5317762769546186</v>
      </c>
      <c r="K29" s="67">
        <f t="shared" si="28"/>
        <v>0.52523612798928565</v>
      </c>
      <c r="L29" s="67">
        <f t="shared" si="28"/>
        <v>0.52795247290437008</v>
      </c>
    </row>
    <row r="30" spans="1:16">
      <c r="A30" s="102" t="s">
        <v>231</v>
      </c>
      <c r="B30" s="122">
        <f>1-B29</f>
        <v>0.47361628892906482</v>
      </c>
      <c r="C30" s="122">
        <f t="shared" ref="C30:F30" si="29">1-C29</f>
        <v>0.47470212612345297</v>
      </c>
      <c r="D30" s="122">
        <f t="shared" si="29"/>
        <v>0.49124931890022949</v>
      </c>
      <c r="E30" s="122">
        <f t="shared" si="29"/>
        <v>0.43552297821871711</v>
      </c>
      <c r="F30" s="122">
        <f t="shared" si="29"/>
        <v>0.48834559658613619</v>
      </c>
      <c r="G30" s="67">
        <f>AVERAGE(B30:F30)</f>
        <v>0.47268726175152009</v>
      </c>
      <c r="H30" s="67">
        <f t="shared" ref="H30:L30" si="30">AVERAGE(C30:G30)</f>
        <v>0.4725014563160112</v>
      </c>
      <c r="I30" s="67">
        <f t="shared" si="30"/>
        <v>0.47206132235452281</v>
      </c>
      <c r="J30" s="67">
        <f t="shared" si="30"/>
        <v>0.46822372304538151</v>
      </c>
      <c r="K30" s="67">
        <f t="shared" si="30"/>
        <v>0.47476387201071429</v>
      </c>
      <c r="L30" s="67">
        <f t="shared" si="30"/>
        <v>0.47204752709562997</v>
      </c>
    </row>
    <row r="31" spans="1:16">
      <c r="A31" s="102"/>
      <c r="B31" s="122"/>
      <c r="C31" s="122"/>
      <c r="D31" s="122"/>
      <c r="E31" s="122"/>
      <c r="F31" s="122"/>
      <c r="G31" s="150">
        <f>G32/F32-1</f>
        <v>3.1265307444118262E-2</v>
      </c>
      <c r="H31" s="150">
        <f t="shared" ref="H31:L31" si="31">H32/G32-1</f>
        <v>4.0644899677353852E-2</v>
      </c>
      <c r="I31" s="150">
        <f t="shared" si="31"/>
        <v>5.2838369580559874E-2</v>
      </c>
      <c r="J31" s="150">
        <f t="shared" si="31"/>
        <v>5.2838369580559874E-2</v>
      </c>
      <c r="K31" s="150">
        <f t="shared" si="31"/>
        <v>5.2838369580559874E-2</v>
      </c>
      <c r="L31" s="150">
        <f t="shared" si="31"/>
        <v>5.2838369580559874E-2</v>
      </c>
      <c r="M31" s="67">
        <f>AVERAGE(G31:L31)</f>
        <v>4.7210614240618599E-2</v>
      </c>
    </row>
    <row r="32" spans="1:16" ht="15">
      <c r="A32" s="124" t="s">
        <v>37</v>
      </c>
      <c r="B32" s="64">
        <f>'4) Financial Statements'!B60</f>
        <v>53264938</v>
      </c>
      <c r="C32" s="64">
        <f>'4) Financial Statements'!C60</f>
        <v>99225981</v>
      </c>
      <c r="D32" s="64">
        <f>'4) Financial Statements'!D60</f>
        <v>222987557</v>
      </c>
      <c r="E32" s="64">
        <f>'4) Financial Statements'!E60</f>
        <v>745065494</v>
      </c>
      <c r="F32" s="64">
        <f>'4) Financial Statements'!F60</f>
        <v>1531948674</v>
      </c>
      <c r="G32" s="64">
        <f>F32*(1+G35)</f>
        <v>1579845520.2812192</v>
      </c>
      <c r="H32" s="64">
        <f t="shared" ref="H32:L32" si="32">G32*(1+H35)</f>
        <v>1644058182.9587662</v>
      </c>
      <c r="I32" s="64">
        <f t="shared" si="32"/>
        <v>1730927536.8418853</v>
      </c>
      <c r="J32" s="64">
        <f t="shared" si="32"/>
        <v>1822386925.750705</v>
      </c>
      <c r="K32" s="64">
        <f t="shared" si="32"/>
        <v>1918678879.6523011</v>
      </c>
      <c r="L32" s="64">
        <f t="shared" si="32"/>
        <v>2020058743.4017839</v>
      </c>
      <c r="M32">
        <v>1.3</v>
      </c>
    </row>
    <row r="33" spans="1:14">
      <c r="A33" s="64" t="str">
        <f>'4) Financial Statements'!A61</f>
        <v>Depreciación de propiedades, planta y equipo</v>
      </c>
      <c r="B33" s="64">
        <f>'4) Financial Statements'!B61</f>
        <v>53076099</v>
      </c>
      <c r="C33" s="64">
        <f>'4) Financial Statements'!C61</f>
        <v>98941022</v>
      </c>
      <c r="D33" s="64">
        <f>'4) Financial Statements'!D61</f>
        <v>222432457</v>
      </c>
      <c r="E33" s="64">
        <f>'4) Financial Statements'!E61</f>
        <v>743336913</v>
      </c>
      <c r="F33" s="64">
        <f>'4) Financial Statements'!F61</f>
        <v>1528183825</v>
      </c>
      <c r="G33" s="64">
        <f>G32*G36</f>
        <v>1575521777.7912567</v>
      </c>
      <c r="H33" s="64">
        <f t="shared" ref="H33:L33" si="33">H32*H36</f>
        <v>1639824534.8570776</v>
      </c>
      <c r="I33" s="64">
        <f t="shared" si="33"/>
        <v>1726572902.1610472</v>
      </c>
      <c r="J33" s="64">
        <f t="shared" si="33"/>
        <v>1817792575.4409328</v>
      </c>
      <c r="K33" s="64">
        <f t="shared" si="33"/>
        <v>1913764631.6689758</v>
      </c>
      <c r="L33" s="64">
        <f t="shared" si="33"/>
        <v>2014842934.1245837</v>
      </c>
    </row>
    <row r="34" spans="1:14">
      <c r="A34" s="64" t="str">
        <f>'4) Financial Statements'!A62</f>
        <v>Depreciación de propiedades de inversión</v>
      </c>
      <c r="B34" s="64">
        <f>'4) Financial Statements'!B62</f>
        <v>188839</v>
      </c>
      <c r="C34" s="64">
        <f>'4) Financial Statements'!C62</f>
        <v>284959</v>
      </c>
      <c r="D34" s="64">
        <f>'4) Financial Statements'!D62</f>
        <v>555100</v>
      </c>
      <c r="E34" s="64">
        <f>'4) Financial Statements'!E62</f>
        <v>1728581</v>
      </c>
      <c r="F34" s="64">
        <f>'4) Financial Statements'!F62</f>
        <v>3764849</v>
      </c>
      <c r="G34" s="64">
        <f>G32*G37</f>
        <v>4323742.4899626542</v>
      </c>
      <c r="H34" s="64">
        <f t="shared" ref="H34:L34" si="34">H32*H37</f>
        <v>4233648.1016883152</v>
      </c>
      <c r="I34" s="64">
        <f t="shared" si="34"/>
        <v>4354634.6808382142</v>
      </c>
      <c r="J34" s="64">
        <f t="shared" si="34"/>
        <v>4594350.309772322</v>
      </c>
      <c r="K34" s="64">
        <f t="shared" si="34"/>
        <v>4914247.9833250074</v>
      </c>
      <c r="L34" s="64">
        <f t="shared" si="34"/>
        <v>5215809.2772002975</v>
      </c>
    </row>
    <row r="35" spans="1:14" outlineLevel="1">
      <c r="A35" t="s">
        <v>199</v>
      </c>
      <c r="B35" s="56">
        <f>B32/B14</f>
        <v>1.463233442008296E-2</v>
      </c>
      <c r="C35" s="56">
        <f>C32/C14</f>
        <v>1.2507623144465008E-2</v>
      </c>
      <c r="D35" s="56">
        <f>D32/D14</f>
        <v>1.5211760940547549E-2</v>
      </c>
      <c r="E35" s="56">
        <f>E32/E14</f>
        <v>3.3151356190743934E-2</v>
      </c>
      <c r="F35" s="56">
        <f>F32/F14</f>
        <v>2.4050236495475601E-2</v>
      </c>
      <c r="G35" s="56">
        <f>F35*$M$32</f>
        <v>3.1265307444118283E-2</v>
      </c>
      <c r="H35" s="56">
        <f t="shared" ref="H35:I35" si="35">G35*$M$32</f>
        <v>4.0644899677353769E-2</v>
      </c>
      <c r="I35" s="56">
        <f t="shared" si="35"/>
        <v>5.2838369580559902E-2</v>
      </c>
      <c r="J35" s="56">
        <f>I35</f>
        <v>5.2838369580559902E-2</v>
      </c>
      <c r="K35" s="56">
        <f>J35</f>
        <v>5.2838369580559902E-2</v>
      </c>
      <c r="L35" s="56">
        <f>K35</f>
        <v>5.2838369580559902E-2</v>
      </c>
    </row>
    <row r="36" spans="1:14" outlineLevel="1">
      <c r="A36" t="s">
        <v>234</v>
      </c>
      <c r="B36" s="56">
        <f>B33/B32</f>
        <v>0.99645472224148646</v>
      </c>
      <c r="C36" s="56">
        <f t="shared" ref="C36:F36" si="36">C33/C32</f>
        <v>0.997128181579782</v>
      </c>
      <c r="D36" s="56">
        <f t="shared" si="36"/>
        <v>0.99751062342909114</v>
      </c>
      <c r="E36" s="56">
        <f t="shared" si="36"/>
        <v>0.99767996100487777</v>
      </c>
      <c r="F36" s="56">
        <f t="shared" si="36"/>
        <v>0.99754244442787388</v>
      </c>
      <c r="G36" s="56">
        <f t="shared" ref="G36:G37" si="37">AVERAGE(B36:F36)</f>
        <v>0.99726318653662227</v>
      </c>
      <c r="H36" s="56">
        <f t="shared" ref="H36:H37" si="38">AVERAGE(C36:G36)</f>
        <v>0.99742487939564928</v>
      </c>
      <c r="I36" s="56">
        <f t="shared" ref="I36:I37" si="39">AVERAGE(D36:H36)</f>
        <v>0.99748421895882289</v>
      </c>
      <c r="J36" s="56">
        <f t="shared" ref="J36:J37" si="40">AVERAGE(E36:I36)</f>
        <v>0.99747893806476928</v>
      </c>
      <c r="K36" s="56">
        <f t="shared" ref="K36:K37" si="41">AVERAGE(F36:J36)</f>
        <v>0.99743873347674739</v>
      </c>
      <c r="L36" s="56">
        <f t="shared" ref="L36:L37" si="42">AVERAGE(G36:K36)</f>
        <v>0.99741799128652231</v>
      </c>
    </row>
    <row r="37" spans="1:14" outlineLevel="1">
      <c r="A37" t="s">
        <v>234</v>
      </c>
      <c r="B37" s="56">
        <f>B34/B32</f>
        <v>3.5452777585134898E-3</v>
      </c>
      <c r="C37" s="56">
        <f t="shared" ref="C37:F37" si="43">C34/C32</f>
        <v>2.8718184202179871E-3</v>
      </c>
      <c r="D37" s="56">
        <f t="shared" si="43"/>
        <v>2.4893765709088421E-3</v>
      </c>
      <c r="E37" s="56">
        <f t="shared" si="43"/>
        <v>2.3200389951222194E-3</v>
      </c>
      <c r="F37" s="56">
        <f t="shared" si="43"/>
        <v>2.4575555721261717E-3</v>
      </c>
      <c r="G37" s="56">
        <f t="shared" si="37"/>
        <v>2.7368134633777418E-3</v>
      </c>
      <c r="H37" s="56">
        <f t="shared" si="38"/>
        <v>2.5751206043505923E-3</v>
      </c>
      <c r="I37" s="56">
        <f t="shared" si="39"/>
        <v>2.5157810411771133E-3</v>
      </c>
      <c r="J37" s="56">
        <f t="shared" si="40"/>
        <v>2.5210619352307676E-3</v>
      </c>
      <c r="K37" s="56">
        <f t="shared" si="41"/>
        <v>2.5612665232524773E-3</v>
      </c>
      <c r="L37" s="56">
        <f t="shared" si="42"/>
        <v>2.5820087134777385E-3</v>
      </c>
    </row>
    <row r="38" spans="1:14" outlineLevel="1">
      <c r="B38" s="56"/>
      <c r="C38" s="56"/>
      <c r="D38" s="56"/>
      <c r="E38" s="56"/>
      <c r="F38" s="56"/>
      <c r="G38" s="151">
        <f>G39/F39-1</f>
        <v>0.41791736165048543</v>
      </c>
      <c r="H38" s="151">
        <f t="shared" ref="H38:L38" si="44">H39/G39-1</f>
        <v>0.19783697073170736</v>
      </c>
      <c r="I38" s="151">
        <f t="shared" si="44"/>
        <v>0.14746090107737553</v>
      </c>
      <c r="J38" s="151">
        <f t="shared" si="44"/>
        <v>4.0000000000000036E-2</v>
      </c>
      <c r="K38" s="151">
        <f t="shared" si="44"/>
        <v>4.0000000000000036E-2</v>
      </c>
      <c r="L38" s="151">
        <f t="shared" si="44"/>
        <v>4.0000000000000036E-2</v>
      </c>
      <c r="M38" s="67">
        <f>AVERAGE(G38:L38)</f>
        <v>0.14720253890992807</v>
      </c>
    </row>
    <row r="39" spans="1:14" ht="15">
      <c r="A39" s="124" t="s">
        <v>89</v>
      </c>
      <c r="B39" s="64">
        <f>'4) Financial Statements'!B78</f>
        <v>-42183587</v>
      </c>
      <c r="C39" s="64">
        <f>'4) Financial Statements'!C78</f>
        <v>-158828201</v>
      </c>
      <c r="D39" s="64">
        <f>'4) Financial Statements'!D78</f>
        <v>-562865660</v>
      </c>
      <c r="E39" s="64">
        <f>'4) Financial Statements'!E78</f>
        <v>-811662819</v>
      </c>
      <c r="F39" s="64">
        <f>'4) Financial Statements'!F78</f>
        <v>-1555724203</v>
      </c>
      <c r="G39" s="64">
        <f>-G40*G14</f>
        <v>-2205888357.3735642</v>
      </c>
      <c r="H39" s="64">
        <f>-H40*H14</f>
        <v>-2642294627.768692</v>
      </c>
      <c r="I39" s="64">
        <f>-I40*I14</f>
        <v>-3031929774.4913721</v>
      </c>
      <c r="J39" s="64">
        <f>I39*$N$39</f>
        <v>-3153206965.4710269</v>
      </c>
      <c r="K39" s="64">
        <f t="shared" ref="K39:L39" si="45">J39*$N$39</f>
        <v>-3279335244.0898681</v>
      </c>
      <c r="L39" s="64">
        <f t="shared" si="45"/>
        <v>-3410508653.8534627</v>
      </c>
      <c r="M39">
        <v>1.06</v>
      </c>
      <c r="N39">
        <v>1.04</v>
      </c>
    </row>
    <row r="40" spans="1:14">
      <c r="B40" s="56">
        <f>B39/B14*(-1)</f>
        <v>1.1588192443266603E-2</v>
      </c>
      <c r="C40" s="56">
        <f>-C39/C14</f>
        <v>2.0020596045518969E-2</v>
      </c>
      <c r="D40" s="56">
        <f>-D39/D14</f>
        <v>3.8397558934481338E-2</v>
      </c>
      <c r="E40" s="56">
        <f>-E39/E14</f>
        <v>3.6114574404719817E-2</v>
      </c>
      <c r="F40" s="56">
        <f>-F39/F14</f>
        <v>2.4423491229762499E-2</v>
      </c>
      <c r="G40" s="56">
        <f>F40*$M$39</f>
        <v>2.588890070354825E-2</v>
      </c>
      <c r="H40" s="56">
        <f t="shared" ref="H40:I40" si="46">G40*$M$39</f>
        <v>2.7442234745761147E-2</v>
      </c>
      <c r="I40" s="56">
        <f t="shared" si="46"/>
        <v>2.9088768830506817E-2</v>
      </c>
      <c r="J40" s="56">
        <f>I40</f>
        <v>2.9088768830506817E-2</v>
      </c>
      <c r="K40" s="56">
        <f>J40</f>
        <v>2.9088768830506817E-2</v>
      </c>
      <c r="L40" s="56">
        <f>K40</f>
        <v>2.9088768830506817E-2</v>
      </c>
    </row>
    <row r="41" spans="1:14">
      <c r="B41" s="56"/>
      <c r="C41" s="56"/>
      <c r="D41" s="56"/>
      <c r="E41" s="56"/>
      <c r="F41" s="56"/>
      <c r="G41" s="151">
        <f>G42/F42-1</f>
        <v>0.12000000000000011</v>
      </c>
      <c r="H41" s="151">
        <f t="shared" ref="H41:L41" si="47">H42/G42-1</f>
        <v>0.12000000000000011</v>
      </c>
      <c r="I41" s="151">
        <f t="shared" si="47"/>
        <v>0.12000000000000011</v>
      </c>
      <c r="J41" s="151">
        <f t="shared" si="47"/>
        <v>0.12000000000000011</v>
      </c>
      <c r="K41" s="151">
        <f t="shared" si="47"/>
        <v>0.12000000000000011</v>
      </c>
      <c r="L41" s="151">
        <f t="shared" si="47"/>
        <v>0.12000000000000011</v>
      </c>
      <c r="M41" s="67">
        <f>AVERAGE(G41:L41)</f>
        <v>0.12000000000000011</v>
      </c>
    </row>
    <row r="42" spans="1:14" ht="15">
      <c r="A42" s="137" t="s">
        <v>194</v>
      </c>
      <c r="B42" s="132"/>
      <c r="C42" s="138">
        <f>C43-B43</f>
        <v>1211948904</v>
      </c>
      <c r="D42" s="138">
        <f t="shared" ref="D42:F42" si="48">D43-C43</f>
        <v>1409212110</v>
      </c>
      <c r="E42" s="138">
        <f t="shared" si="48"/>
        <v>2324584975</v>
      </c>
      <c r="F42" s="138">
        <f t="shared" si="48"/>
        <v>6261283378</v>
      </c>
      <c r="G42" s="138">
        <f>F42*$M$42</f>
        <v>7012637383.3600006</v>
      </c>
      <c r="H42" s="138">
        <f t="shared" ref="H42:L42" si="49">G42*$M$42</f>
        <v>7854153869.3632011</v>
      </c>
      <c r="I42" s="138">
        <f t="shared" si="49"/>
        <v>8796652333.6867867</v>
      </c>
      <c r="J42" s="138">
        <f t="shared" si="49"/>
        <v>9852250613.7292023</v>
      </c>
      <c r="K42" s="138">
        <f t="shared" si="49"/>
        <v>11034520687.376707</v>
      </c>
      <c r="L42" s="138">
        <f t="shared" si="49"/>
        <v>12358663169.861914</v>
      </c>
      <c r="M42">
        <v>1.1200000000000001</v>
      </c>
    </row>
    <row r="43" spans="1:14" outlineLevel="1">
      <c r="A43" s="132" t="s">
        <v>193</v>
      </c>
      <c r="B43" s="129">
        <f>'4) Financial Statements'!B30-'4) Financial Statements'!B44</f>
        <v>595389078</v>
      </c>
      <c r="C43" s="129">
        <f>'4) Financial Statements'!C30-'4) Financial Statements'!C44</f>
        <v>1807337982</v>
      </c>
      <c r="D43" s="129">
        <f>'4) Financial Statements'!D30-'4) Financial Statements'!D44</f>
        <v>3216550092</v>
      </c>
      <c r="E43" s="129">
        <f>'4) Financial Statements'!E30-'4) Financial Statements'!E44</f>
        <v>5541135067</v>
      </c>
      <c r="F43" s="129">
        <f>'4) Financial Statements'!F30-'4) Financial Statements'!F44</f>
        <v>11802418445</v>
      </c>
      <c r="G43" s="133">
        <f t="shared" ref="G43:L43" si="50">G56*G14</f>
        <v>17682109910.702789</v>
      </c>
      <c r="H43" s="133">
        <f t="shared" si="50"/>
        <v>22379169026.576504</v>
      </c>
      <c r="I43" s="133">
        <f t="shared" si="50"/>
        <v>27132762293.764317</v>
      </c>
      <c r="J43" s="133">
        <f t="shared" si="50"/>
        <v>32205354859.536392</v>
      </c>
      <c r="K43" s="133">
        <f t="shared" si="50"/>
        <v>38234594341.561798</v>
      </c>
      <c r="L43" s="133">
        <f t="shared" si="50"/>
        <v>45381320914.035927</v>
      </c>
    </row>
    <row r="44" spans="1:14" outlineLevel="1">
      <c r="A44" s="129" t="str">
        <f>'4) Financial Statements'!A30</f>
        <v>Current Assets</v>
      </c>
      <c r="B44" s="129">
        <f>'4) Financial Statements'!B30</f>
        <v>2020507012</v>
      </c>
      <c r="C44" s="129">
        <f>'4) Financial Statements'!C30</f>
        <v>4827427972</v>
      </c>
      <c r="D44" s="129">
        <f>'4) Financial Statements'!D30</f>
        <v>6465358364</v>
      </c>
      <c r="E44" s="129">
        <f>'4) Financial Statements'!E30</f>
        <v>12172506721</v>
      </c>
      <c r="F44" s="129">
        <f>'4) Financial Statements'!F30</f>
        <v>32816444384</v>
      </c>
      <c r="G44" s="134">
        <f>G43*G57</f>
        <v>46156932200.670052</v>
      </c>
      <c r="H44" s="134">
        <f t="shared" ref="H44:L44" si="51">G44*H57</f>
        <v>120486887647.25449</v>
      </c>
      <c r="I44" s="134">
        <f t="shared" si="51"/>
        <v>314515922154.62238</v>
      </c>
      <c r="J44" s="134">
        <f t="shared" si="51"/>
        <v>821004403220.85596</v>
      </c>
      <c r="K44" s="134">
        <f t="shared" si="51"/>
        <v>2143129115659.3914</v>
      </c>
      <c r="L44" s="134">
        <f t="shared" si="51"/>
        <v>5594370003825.0039</v>
      </c>
    </row>
    <row r="45" spans="1:14" outlineLevel="1">
      <c r="A45" s="96" t="str">
        <f>'4) Financial Statements'!A26</f>
        <v>Cash &amp; ST Investments</v>
      </c>
      <c r="B45" s="96">
        <f>'4) Financial Statements'!B26</f>
        <v>588858045</v>
      </c>
      <c r="C45" s="96">
        <f>'4) Financial Statements'!C26</f>
        <v>1186625716</v>
      </c>
      <c r="D45" s="96">
        <f>'4) Financial Statements'!D26</f>
        <v>1275948509</v>
      </c>
      <c r="E45" s="96">
        <f>'4) Financial Statements'!E26</f>
        <v>2458458439</v>
      </c>
      <c r="F45" s="96">
        <f>'4) Financial Statements'!F26</f>
        <v>7394531088</v>
      </c>
      <c r="G45" s="101">
        <f>G59*G$44</f>
        <v>10725943899.947575</v>
      </c>
      <c r="H45" s="101">
        <f t="shared" ref="H45:L45" si="52">H59*H$44</f>
        <v>27998732497.32523</v>
      </c>
      <c r="I45" s="101">
        <f t="shared" si="52"/>
        <v>73087182701.058838</v>
      </c>
      <c r="J45" s="101">
        <f t="shared" si="52"/>
        <v>190784931985.34116</v>
      </c>
      <c r="K45" s="101">
        <f t="shared" si="52"/>
        <v>498020157946.57141</v>
      </c>
      <c r="L45" s="101">
        <f t="shared" si="52"/>
        <v>1300019216088.7461</v>
      </c>
    </row>
    <row r="46" spans="1:14" outlineLevel="1">
      <c r="A46" s="96" t="str">
        <f>'4) Financial Statements'!A27</f>
        <v>Receivables</v>
      </c>
      <c r="B46" s="96">
        <f>'4) Financial Statements'!B27</f>
        <v>343644441</v>
      </c>
      <c r="C46" s="96">
        <f>'4) Financial Statements'!C27</f>
        <v>1013004174</v>
      </c>
      <c r="D46" s="96">
        <f>'4) Financial Statements'!D27</f>
        <v>1459736354</v>
      </c>
      <c r="E46" s="96">
        <f>'4) Financial Statements'!E27</f>
        <v>3182055900</v>
      </c>
      <c r="F46" s="96">
        <f>'4) Financial Statements'!F27</f>
        <v>12851298972</v>
      </c>
      <c r="G46" s="101">
        <f t="shared" ref="G46:L48" si="53">G60*G$44</f>
        <v>11619775086.047146</v>
      </c>
      <c r="H46" s="101">
        <f t="shared" si="53"/>
        <v>30331966803.864086</v>
      </c>
      <c r="I46" s="101">
        <f t="shared" si="53"/>
        <v>79177798483.850967</v>
      </c>
      <c r="J46" s="101">
        <f t="shared" si="53"/>
        <v>206683721279.51385</v>
      </c>
      <c r="K46" s="101">
        <f t="shared" si="53"/>
        <v>539521955143.27838</v>
      </c>
      <c r="L46" s="101">
        <f t="shared" si="53"/>
        <v>1408354457136.811</v>
      </c>
    </row>
    <row r="47" spans="1:14" outlineLevel="1">
      <c r="A47" s="96" t="str">
        <f>'4) Financial Statements'!A28</f>
        <v>Inventories</v>
      </c>
      <c r="B47" s="96">
        <f>'4) Financial Statements'!B28</f>
        <v>443240255</v>
      </c>
      <c r="C47" s="96">
        <f>'4) Financial Statements'!C28</f>
        <v>1119818347</v>
      </c>
      <c r="D47" s="96">
        <f>'4) Financial Statements'!D28</f>
        <v>1890044461</v>
      </c>
      <c r="E47" s="96">
        <f>'4) Financial Statements'!E28</f>
        <v>4084702777</v>
      </c>
      <c r="F47" s="96">
        <f>'4) Financial Statements'!F28</f>
        <v>8678279963</v>
      </c>
      <c r="G47" s="101">
        <f t="shared" si="53"/>
        <v>12404139074.975212</v>
      </c>
      <c r="H47" s="101">
        <f t="shared" si="53"/>
        <v>32379450709.372787</v>
      </c>
      <c r="I47" s="101">
        <f t="shared" si="53"/>
        <v>84522498651.749191</v>
      </c>
      <c r="J47" s="101">
        <f t="shared" si="53"/>
        <v>220635391330.68048</v>
      </c>
      <c r="K47" s="101">
        <f t="shared" si="53"/>
        <v>575941041546.99036</v>
      </c>
      <c r="L47" s="101">
        <f t="shared" si="53"/>
        <v>1503421918567.3606</v>
      </c>
    </row>
    <row r="48" spans="1:14" outlineLevel="1">
      <c r="A48" s="129" t="str">
        <f>'4) Financial Statements'!A29</f>
        <v>Other receivables</v>
      </c>
      <c r="B48" s="129">
        <f>'4) Financial Statements'!B29</f>
        <v>644764271</v>
      </c>
      <c r="C48" s="129">
        <f>'4) Financial Statements'!C29</f>
        <v>1507979735</v>
      </c>
      <c r="D48" s="129">
        <f>'4) Financial Statements'!D29</f>
        <v>1839629040</v>
      </c>
      <c r="E48" s="129">
        <f>'4) Financial Statements'!E29</f>
        <v>2447289605</v>
      </c>
      <c r="F48" s="129">
        <f>'4) Financial Statements'!F29</f>
        <v>3892334361</v>
      </c>
      <c r="G48" s="133">
        <f t="shared" si="53"/>
        <v>11407074139.700121</v>
      </c>
      <c r="H48" s="133">
        <f t="shared" si="53"/>
        <v>29776737636.692383</v>
      </c>
      <c r="I48" s="133">
        <f t="shared" si="53"/>
        <v>77728442317.963394</v>
      </c>
      <c r="J48" s="133">
        <f t="shared" si="53"/>
        <v>202900358625.32047</v>
      </c>
      <c r="K48" s="133">
        <f t="shared" si="53"/>
        <v>529645961022.55127</v>
      </c>
      <c r="L48" s="133">
        <f t="shared" si="53"/>
        <v>1382574412032.0862</v>
      </c>
    </row>
    <row r="49" spans="1:12" outlineLevel="1">
      <c r="A49" s="130" t="str">
        <f>'4) Financial Statements'!A44</f>
        <v>Current Liabilities</v>
      </c>
      <c r="B49" s="131">
        <f>'4) Financial Statements'!B44</f>
        <v>1425117934</v>
      </c>
      <c r="C49" s="131">
        <f>'4) Financial Statements'!C44</f>
        <v>3020089990</v>
      </c>
      <c r="D49" s="131">
        <f>'4) Financial Statements'!D44</f>
        <v>3248808272</v>
      </c>
      <c r="E49" s="131">
        <f>'4) Financial Statements'!E44</f>
        <v>6631371654</v>
      </c>
      <c r="F49" s="129">
        <f>'4) Financial Statements'!F44</f>
        <v>21014025939</v>
      </c>
      <c r="G49" s="133">
        <f>G58*G43</f>
        <v>28474822289.967274</v>
      </c>
      <c r="H49" s="133">
        <f t="shared" ref="H49:L49" si="54">H58*H43</f>
        <v>36038847413.972336</v>
      </c>
      <c r="I49" s="133">
        <f t="shared" si="54"/>
        <v>43693913704.450897</v>
      </c>
      <c r="J49" s="133">
        <f t="shared" si="54"/>
        <v>51862688391.929817</v>
      </c>
      <c r="K49" s="133">
        <f t="shared" si="54"/>
        <v>61572023061.906662</v>
      </c>
      <c r="L49" s="133">
        <f t="shared" si="54"/>
        <v>73080930660.258957</v>
      </c>
    </row>
    <row r="50" spans="1:12" outlineLevel="1">
      <c r="A50" s="96" t="str">
        <f>'4) Financial Statements'!A38</f>
        <v>Payables</v>
      </c>
      <c r="B50" s="96">
        <f>'4) Financial Statements'!B38</f>
        <v>378394206</v>
      </c>
      <c r="C50" s="96">
        <f>'4) Financial Statements'!C38</f>
        <v>421151305</v>
      </c>
      <c r="D50" s="96">
        <f>'4) Financial Statements'!D38</f>
        <v>914425611</v>
      </c>
      <c r="E50" s="96">
        <f>'4) Financial Statements'!E38</f>
        <v>663133450</v>
      </c>
      <c r="F50" s="96">
        <f>'4) Financial Statements'!F38</f>
        <v>5442752288</v>
      </c>
      <c r="G50" s="101">
        <f>G$49*G63</f>
        <v>5953731135.2411375</v>
      </c>
      <c r="H50" s="101">
        <f t="shared" ref="H50:L50" si="55">H$49*H63</f>
        <v>7128538402.715971</v>
      </c>
      <c r="I50" s="101">
        <f t="shared" si="55"/>
        <v>9152643933.2863979</v>
      </c>
      <c r="J50" s="101">
        <f t="shared" si="55"/>
        <v>10117020860.416868</v>
      </c>
      <c r="K50" s="101">
        <f t="shared" si="55"/>
        <v>13181828713.287521</v>
      </c>
      <c r="L50" s="101">
        <f t="shared" si="55"/>
        <v>14989221319.340494</v>
      </c>
    </row>
    <row r="51" spans="1:12" outlineLevel="1">
      <c r="A51" s="96" t="str">
        <f>'4) Financial Statements'!A39</f>
        <v>Loans</v>
      </c>
      <c r="B51" s="96">
        <f>'4) Financial Statements'!B39</f>
        <v>293554093</v>
      </c>
      <c r="C51" s="96">
        <f>'4) Financial Statements'!C39</f>
        <v>482245050</v>
      </c>
      <c r="D51" s="96">
        <f>'4) Financial Statements'!D39</f>
        <v>1031754217</v>
      </c>
      <c r="E51" s="96">
        <f>'4) Financial Statements'!E39</f>
        <v>3665556676</v>
      </c>
      <c r="F51" s="96">
        <f>'4) Financial Statements'!F39</f>
        <v>6886952651</v>
      </c>
      <c r="G51" s="101">
        <f t="shared" ref="G51:L55" si="56">G$49*G64</f>
        <v>8905417134.7019062</v>
      </c>
      <c r="H51" s="101">
        <f t="shared" si="56"/>
        <v>12040554220.5007</v>
      </c>
      <c r="I51" s="101">
        <f t="shared" si="56"/>
        <v>16122327565.726563</v>
      </c>
      <c r="J51" s="101">
        <f t="shared" si="56"/>
        <v>19669660375.19622</v>
      </c>
      <c r="K51" s="101">
        <f t="shared" si="56"/>
        <v>21215566259.818275</v>
      </c>
      <c r="L51" s="101">
        <f t="shared" si="56"/>
        <v>25427179369.749454</v>
      </c>
    </row>
    <row r="52" spans="1:12" outlineLevel="1">
      <c r="A52" s="96" t="str">
        <f>'4) Financial Statements'!A40</f>
        <v>Remuneraciones y Deudas sociales</v>
      </c>
      <c r="B52" s="96">
        <f>'4) Financial Statements'!B40</f>
        <v>74744081</v>
      </c>
      <c r="C52" s="96">
        <f>'4) Financial Statements'!C40</f>
        <v>179220183</v>
      </c>
      <c r="D52" s="96">
        <f>'4) Financial Statements'!D40</f>
        <v>296617720</v>
      </c>
      <c r="E52" s="96">
        <f>'4) Financial Statements'!E40</f>
        <v>581546869</v>
      </c>
      <c r="F52" s="96">
        <f>'4) Financial Statements'!F40</f>
        <v>1280599720</v>
      </c>
      <c r="G52" s="101">
        <f t="shared" si="56"/>
        <v>2003074656.062171</v>
      </c>
      <c r="H52" s="101">
        <f t="shared" si="56"/>
        <v>2664172895.2427988</v>
      </c>
      <c r="I52" s="101">
        <f t="shared" si="56"/>
        <v>3357506044.6933746</v>
      </c>
      <c r="J52" s="101">
        <f t="shared" si="56"/>
        <v>3835230814.8290167</v>
      </c>
      <c r="K52" s="101">
        <f t="shared" si="56"/>
        <v>4383952041.0683327</v>
      </c>
      <c r="L52" s="101">
        <f t="shared" si="56"/>
        <v>5353355051.3121347</v>
      </c>
    </row>
    <row r="53" spans="1:12" outlineLevel="1">
      <c r="A53" s="96" t="str">
        <f>'4) Financial Statements'!A41</f>
        <v>Fiscales</v>
      </c>
      <c r="B53" s="96">
        <f>'4) Financial Statements'!B41</f>
        <v>127303502</v>
      </c>
      <c r="C53" s="96">
        <f>'4) Financial Statements'!C41</f>
        <v>635763012</v>
      </c>
      <c r="D53" s="96">
        <f>'4) Financial Statements'!D41</f>
        <v>113803295</v>
      </c>
      <c r="E53" s="96">
        <f>'4) Financial Statements'!E41</f>
        <v>88779717</v>
      </c>
      <c r="F53" s="96">
        <f>'4) Financial Statements'!F41</f>
        <v>2924936225</v>
      </c>
      <c r="G53" s="101">
        <f t="shared" si="56"/>
        <v>2775990324.3280373</v>
      </c>
      <c r="H53" s="101">
        <f t="shared" si="56"/>
        <v>3572223651.9321842</v>
      </c>
      <c r="I53" s="101">
        <f t="shared" si="56"/>
        <v>3357593773.4503546</v>
      </c>
      <c r="J53" s="101">
        <f t="shared" si="56"/>
        <v>4419031184.3589745</v>
      </c>
      <c r="K53" s="101">
        <f t="shared" si="56"/>
        <v>6130730732.9825239</v>
      </c>
      <c r="L53" s="101">
        <f t="shared" si="56"/>
        <v>6697585438.4059286</v>
      </c>
    </row>
    <row r="54" spans="1:12" outlineLevel="1">
      <c r="A54" s="96" t="str">
        <f>'4) Financial Statements'!A42</f>
        <v>Anticipos de Clientes</v>
      </c>
      <c r="B54" s="96">
        <f>'4) Financial Statements'!B42</f>
        <v>514650909</v>
      </c>
      <c r="C54" s="96">
        <f>'4) Financial Statements'!C42</f>
        <v>1204710440</v>
      </c>
      <c r="D54" s="96">
        <f>'4) Financial Statements'!D42</f>
        <v>675522485</v>
      </c>
      <c r="E54" s="96">
        <f>'4) Financial Statements'!E42</f>
        <v>950830550</v>
      </c>
      <c r="F54" s="96">
        <f>'4) Financial Statements'!F42</f>
        <v>3092212223</v>
      </c>
      <c r="G54" s="101">
        <f t="shared" si="56"/>
        <v>7167058263.6246624</v>
      </c>
      <c r="H54" s="101">
        <f t="shared" si="56"/>
        <v>8282158660.3830957</v>
      </c>
      <c r="I54" s="101">
        <f t="shared" si="56"/>
        <v>8563771033.3845043</v>
      </c>
      <c r="J54" s="101">
        <f t="shared" si="56"/>
        <v>10041013414.386852</v>
      </c>
      <c r="K54" s="101">
        <f t="shared" si="56"/>
        <v>12539293105.984856</v>
      </c>
      <c r="L54" s="101">
        <f t="shared" si="56"/>
        <v>15708961736.835752</v>
      </c>
    </row>
    <row r="55" spans="1:12" outlineLevel="1">
      <c r="A55" s="129" t="str">
        <f>'4) Financial Statements'!A43</f>
        <v>Other</v>
      </c>
      <c r="B55" s="129">
        <f>'4) Financial Statements'!B43</f>
        <v>36471143</v>
      </c>
      <c r="C55" s="129">
        <f>'4) Financial Statements'!C43</f>
        <v>97000000</v>
      </c>
      <c r="D55" s="129">
        <f>'4) Financial Statements'!D43</f>
        <v>216684944</v>
      </c>
      <c r="E55" s="129">
        <f>'4) Financial Statements'!E43</f>
        <v>681524392</v>
      </c>
      <c r="F55" s="129">
        <f>'4) Financial Statements'!F43</f>
        <v>1386572832</v>
      </c>
      <c r="G55" s="133">
        <f t="shared" si="56"/>
        <v>1669550776.0093575</v>
      </c>
      <c r="H55" s="133">
        <f t="shared" si="56"/>
        <v>2351199583.1975851</v>
      </c>
      <c r="I55" s="133">
        <f t="shared" si="56"/>
        <v>3140071353.9097033</v>
      </c>
      <c r="J55" s="133">
        <f t="shared" si="56"/>
        <v>3780731742.7418842</v>
      </c>
      <c r="K55" s="133">
        <f t="shared" si="56"/>
        <v>4120652208.7651467</v>
      </c>
      <c r="L55" s="133">
        <f t="shared" si="56"/>
        <v>4904627744.6151924</v>
      </c>
    </row>
    <row r="56" spans="1:12" outlineLevel="1">
      <c r="A56" s="132" t="s">
        <v>235</v>
      </c>
      <c r="B56" s="135">
        <f>B43/B14</f>
        <v>0.16355847629750098</v>
      </c>
      <c r="C56" s="135">
        <f>C43/C14</f>
        <v>0.22781838129203161</v>
      </c>
      <c r="D56" s="135">
        <f>D43/D14</f>
        <v>0.21942655326189447</v>
      </c>
      <c r="E56" s="135">
        <f>E43/E14</f>
        <v>0.24655032850996422</v>
      </c>
      <c r="F56" s="135">
        <f>F43/F14</f>
        <v>0.18528750971771354</v>
      </c>
      <c r="G56" s="136">
        <f>F56*$M$42</f>
        <v>0.2075220108838392</v>
      </c>
      <c r="H56" s="136">
        <f t="shared" ref="H56:L56" si="57">G56*$M$42</f>
        <v>0.23242465218989994</v>
      </c>
      <c r="I56" s="136">
        <f t="shared" si="57"/>
        <v>0.26031561045268797</v>
      </c>
      <c r="J56" s="136">
        <f t="shared" si="57"/>
        <v>0.29155348370701056</v>
      </c>
      <c r="K56" s="136">
        <f t="shared" si="57"/>
        <v>0.32653990175185188</v>
      </c>
      <c r="L56" s="136">
        <f t="shared" si="57"/>
        <v>0.36572468996207413</v>
      </c>
    </row>
    <row r="57" spans="1:12" outlineLevel="1">
      <c r="A57" t="s">
        <v>236</v>
      </c>
      <c r="B57" s="56">
        <f>B44/B43</f>
        <v>3.3935909922754748</v>
      </c>
      <c r="C57" s="56">
        <f t="shared" ref="C57:F57" si="58">C44/C43</f>
        <v>2.6710156152741109</v>
      </c>
      <c r="D57" s="56">
        <f t="shared" si="58"/>
        <v>2.0100288131934367</v>
      </c>
      <c r="E57" s="56">
        <f t="shared" si="58"/>
        <v>2.1967532958171079</v>
      </c>
      <c r="F57" s="56">
        <f t="shared" si="58"/>
        <v>2.7804847402188511</v>
      </c>
      <c r="G57" s="67">
        <f>AVERAGE(B57:F57)</f>
        <v>2.6103746913557959</v>
      </c>
      <c r="H57" s="67">
        <f>G57</f>
        <v>2.6103746913557959</v>
      </c>
      <c r="I57" s="67">
        <f t="shared" ref="I57:L58" si="59">H57</f>
        <v>2.6103746913557959</v>
      </c>
      <c r="J57" s="67">
        <f t="shared" si="59"/>
        <v>2.6103746913557959</v>
      </c>
      <c r="K57" s="67">
        <f t="shared" si="59"/>
        <v>2.6103746913557959</v>
      </c>
      <c r="L57" s="67">
        <f t="shared" si="59"/>
        <v>2.6103746913557959</v>
      </c>
    </row>
    <row r="58" spans="1:12" outlineLevel="1">
      <c r="A58" t="s">
        <v>236</v>
      </c>
      <c r="B58" s="56">
        <f>B49/B43</f>
        <v>2.3935909922754748</v>
      </c>
      <c r="C58" s="56">
        <f t="shared" ref="C58:F58" si="60">C49/C43</f>
        <v>1.6710156152741109</v>
      </c>
      <c r="D58" s="56">
        <f t="shared" si="60"/>
        <v>1.0100288131934367</v>
      </c>
      <c r="E58" s="56">
        <f t="shared" si="60"/>
        <v>1.1967532958171077</v>
      </c>
      <c r="F58" s="56">
        <f t="shared" si="60"/>
        <v>1.7804847402188511</v>
      </c>
      <c r="G58" s="67">
        <f>AVERAGE(B58:F58)</f>
        <v>1.6103746913557964</v>
      </c>
      <c r="H58" s="67">
        <f>G58</f>
        <v>1.6103746913557964</v>
      </c>
      <c r="I58" s="67">
        <f t="shared" si="59"/>
        <v>1.6103746913557964</v>
      </c>
      <c r="J58" s="67">
        <f t="shared" si="59"/>
        <v>1.6103746913557964</v>
      </c>
      <c r="K58" s="67">
        <f t="shared" si="59"/>
        <v>1.6103746913557964</v>
      </c>
      <c r="L58" s="67">
        <f t="shared" si="59"/>
        <v>1.6103746913557964</v>
      </c>
    </row>
    <row r="59" spans="1:12">
      <c r="A59" t="s">
        <v>72</v>
      </c>
      <c r="B59" s="95">
        <f>B45/B$44</f>
        <v>0.29144073319355546</v>
      </c>
      <c r="C59" s="95">
        <f t="shared" ref="C59:F59" si="61">C45/C$44</f>
        <v>0.24580909811242235</v>
      </c>
      <c r="D59" s="95">
        <f t="shared" si="61"/>
        <v>0.19735155225186835</v>
      </c>
      <c r="E59" s="95">
        <f t="shared" si="61"/>
        <v>0.20196813157298729</v>
      </c>
      <c r="F59" s="95">
        <f t="shared" si="61"/>
        <v>0.22533005104005968</v>
      </c>
      <c r="G59" s="67">
        <f>AVERAGE(B59:F59)</f>
        <v>0.23237991323417867</v>
      </c>
      <c r="H59" s="67">
        <f t="shared" ref="H59:H62" si="62">G59</f>
        <v>0.23237991323417867</v>
      </c>
      <c r="I59" s="67">
        <f t="shared" ref="I59:I62" si="63">H59</f>
        <v>0.23237991323417867</v>
      </c>
      <c r="J59" s="67">
        <f t="shared" ref="J59:J62" si="64">I59</f>
        <v>0.23237991323417867</v>
      </c>
      <c r="K59" s="67">
        <f t="shared" ref="K59:K62" si="65">J59</f>
        <v>0.23237991323417867</v>
      </c>
      <c r="L59" s="67">
        <f t="shared" ref="L59:L62" si="66">K59</f>
        <v>0.23237991323417867</v>
      </c>
    </row>
    <row r="60" spans="1:12">
      <c r="A60" t="s">
        <v>73</v>
      </c>
      <c r="B60" s="95">
        <f t="shared" ref="B60:F60" si="67">B46/B$44</f>
        <v>0.17007832141094298</v>
      </c>
      <c r="C60" s="95">
        <f t="shared" si="67"/>
        <v>0.20984345698695389</v>
      </c>
      <c r="D60" s="95">
        <f t="shared" si="67"/>
        <v>0.22577810413851329</v>
      </c>
      <c r="E60" s="95">
        <f t="shared" si="67"/>
        <v>0.26141336151495564</v>
      </c>
      <c r="F60" s="95">
        <f t="shared" si="67"/>
        <v>0.39161155979060869</v>
      </c>
      <c r="G60" s="67">
        <f t="shared" ref="G60:G68" si="68">AVERAGE(B60:F60)</f>
        <v>0.25174496076839492</v>
      </c>
      <c r="H60" s="67">
        <f t="shared" si="62"/>
        <v>0.25174496076839492</v>
      </c>
      <c r="I60" s="67">
        <f t="shared" si="63"/>
        <v>0.25174496076839492</v>
      </c>
      <c r="J60" s="67">
        <f t="shared" si="64"/>
        <v>0.25174496076839492</v>
      </c>
      <c r="K60" s="67">
        <f t="shared" si="65"/>
        <v>0.25174496076839492</v>
      </c>
      <c r="L60" s="67">
        <f t="shared" si="66"/>
        <v>0.25174496076839492</v>
      </c>
    </row>
    <row r="61" spans="1:12">
      <c r="A61" t="s">
        <v>74</v>
      </c>
      <c r="B61" s="95">
        <f t="shared" ref="B61:F61" si="69">B47/B$44</f>
        <v>0.21937080760796687</v>
      </c>
      <c r="C61" s="95">
        <f t="shared" si="69"/>
        <v>0.23196997521147064</v>
      </c>
      <c r="D61" s="95">
        <f t="shared" si="69"/>
        <v>0.29233406016966146</v>
      </c>
      <c r="E61" s="95">
        <f t="shared" si="69"/>
        <v>0.33556792126909024</v>
      </c>
      <c r="F61" s="95">
        <f t="shared" si="69"/>
        <v>0.26444912378231888</v>
      </c>
      <c r="G61" s="67">
        <f t="shared" si="68"/>
        <v>0.2687383776081016</v>
      </c>
      <c r="H61" s="67">
        <f t="shared" si="62"/>
        <v>0.2687383776081016</v>
      </c>
      <c r="I61" s="67">
        <f t="shared" si="63"/>
        <v>0.2687383776081016</v>
      </c>
      <c r="J61" s="67">
        <f t="shared" si="64"/>
        <v>0.2687383776081016</v>
      </c>
      <c r="K61" s="67">
        <f t="shared" si="65"/>
        <v>0.2687383776081016</v>
      </c>
      <c r="L61" s="67">
        <f t="shared" si="66"/>
        <v>0.2687383776081016</v>
      </c>
    </row>
    <row r="62" spans="1:12">
      <c r="A62" t="s">
        <v>75</v>
      </c>
      <c r="B62" s="95">
        <f t="shared" ref="B62:F62" si="70">B48/B$44</f>
        <v>0.31911013778753466</v>
      </c>
      <c r="C62" s="95">
        <f t="shared" si="70"/>
        <v>0.31237746968915314</v>
      </c>
      <c r="D62" s="95">
        <f t="shared" si="70"/>
        <v>0.28453628343995691</v>
      </c>
      <c r="E62" s="95">
        <f t="shared" si="70"/>
        <v>0.20105058564296685</v>
      </c>
      <c r="F62" s="95">
        <f t="shared" si="70"/>
        <v>0.11860926538701275</v>
      </c>
      <c r="G62" s="67">
        <f t="shared" si="68"/>
        <v>0.24713674838932484</v>
      </c>
      <c r="H62" s="67">
        <f t="shared" si="62"/>
        <v>0.24713674838932484</v>
      </c>
      <c r="I62" s="67">
        <f t="shared" si="63"/>
        <v>0.24713674838932484</v>
      </c>
      <c r="J62" s="67">
        <f t="shared" si="64"/>
        <v>0.24713674838932484</v>
      </c>
      <c r="K62" s="67">
        <f t="shared" si="65"/>
        <v>0.24713674838932484</v>
      </c>
      <c r="L62" s="67">
        <f t="shared" si="66"/>
        <v>0.24713674838932484</v>
      </c>
    </row>
    <row r="63" spans="1:12">
      <c r="A63" t="s">
        <v>80</v>
      </c>
      <c r="B63" s="95">
        <f t="shared" ref="B63:B68" si="71">B50/B$49</f>
        <v>0.26551781924316165</v>
      </c>
      <c r="C63" s="95">
        <f t="shared" ref="C63:F63" si="72">C50/C$49</f>
        <v>0.13944991917277272</v>
      </c>
      <c r="D63" s="95">
        <f t="shared" si="72"/>
        <v>0.28146493558300073</v>
      </c>
      <c r="E63" s="95">
        <f t="shared" si="72"/>
        <v>9.9999439723756439E-2</v>
      </c>
      <c r="F63" s="95">
        <f t="shared" si="72"/>
        <v>0.25900568999959106</v>
      </c>
      <c r="G63" s="67">
        <f t="shared" si="68"/>
        <v>0.20908756074445653</v>
      </c>
      <c r="H63" s="67">
        <f t="shared" ref="H63:H68" si="73">AVERAGE(C63:G63)</f>
        <v>0.1978015090447155</v>
      </c>
      <c r="I63" s="67">
        <f t="shared" ref="I63:I68" si="74">AVERAGE(D63:H63)</f>
        <v>0.20947182701910405</v>
      </c>
      <c r="J63" s="67">
        <f t="shared" ref="J63:J68" si="75">AVERAGE(E63:I63)</f>
        <v>0.19507320530632472</v>
      </c>
      <c r="K63" s="67">
        <f t="shared" ref="K63:K68" si="76">AVERAGE(F63:J63)</f>
        <v>0.2140879584228384</v>
      </c>
      <c r="L63" s="67">
        <f t="shared" ref="L63:L68" si="77">AVERAGE(G63:K63)</f>
        <v>0.20510441210748781</v>
      </c>
    </row>
    <row r="64" spans="1:12">
      <c r="A64" t="s">
        <v>81</v>
      </c>
      <c r="B64" s="95">
        <f t="shared" si="71"/>
        <v>0.20598582474929406</v>
      </c>
      <c r="C64" s="95">
        <f t="shared" ref="C64:F64" si="78">C51/C$49</f>
        <v>0.15967903327278007</v>
      </c>
      <c r="D64" s="95">
        <f t="shared" si="78"/>
        <v>0.31757928773212629</v>
      </c>
      <c r="E64" s="95">
        <f t="shared" si="78"/>
        <v>0.55275995182519444</v>
      </c>
      <c r="F64" s="95">
        <f t="shared" si="78"/>
        <v>0.32773123393830411</v>
      </c>
      <c r="G64" s="67">
        <f t="shared" si="68"/>
        <v>0.31274706630353977</v>
      </c>
      <c r="H64" s="67">
        <f t="shared" si="73"/>
        <v>0.33409931461438891</v>
      </c>
      <c r="I64" s="67">
        <f t="shared" si="74"/>
        <v>0.36898337088271072</v>
      </c>
      <c r="J64" s="67">
        <f t="shared" si="75"/>
        <v>0.37926418751282764</v>
      </c>
      <c r="K64" s="67">
        <f t="shared" si="76"/>
        <v>0.34456503465035421</v>
      </c>
      <c r="L64" s="67">
        <f t="shared" si="77"/>
        <v>0.34793179479276426</v>
      </c>
    </row>
    <row r="65" spans="1:12">
      <c r="A65" t="s">
        <v>169</v>
      </c>
      <c r="B65" s="95">
        <f t="shared" si="71"/>
        <v>5.2447646062673152E-2</v>
      </c>
      <c r="C65" s="95">
        <f t="shared" ref="C65:F65" si="79">C52/C$49</f>
        <v>5.9342663163490704E-2</v>
      </c>
      <c r="D65" s="95">
        <f t="shared" si="79"/>
        <v>9.130046933098919E-2</v>
      </c>
      <c r="E65" s="95">
        <f t="shared" si="79"/>
        <v>8.769631674153186E-2</v>
      </c>
      <c r="F65" s="95">
        <f t="shared" si="79"/>
        <v>6.0940236950185293E-2</v>
      </c>
      <c r="G65" s="67">
        <f t="shared" si="68"/>
        <v>7.0345466449774047E-2</v>
      </c>
      <c r="H65" s="67">
        <f t="shared" si="73"/>
        <v>7.3925030527194208E-2</v>
      </c>
      <c r="I65" s="67">
        <f t="shared" si="74"/>
        <v>7.6841503999934918E-2</v>
      </c>
      <c r="J65" s="67">
        <f t="shared" si="75"/>
        <v>7.3949710933724072E-2</v>
      </c>
      <c r="K65" s="67">
        <f t="shared" si="76"/>
        <v>7.1200389772162503E-2</v>
      </c>
      <c r="L65" s="67">
        <f t="shared" si="77"/>
        <v>7.3252420336557947E-2</v>
      </c>
    </row>
    <row r="66" spans="1:12">
      <c r="A66" t="s">
        <v>170</v>
      </c>
      <c r="B66" s="95">
        <f t="shared" si="71"/>
        <v>8.9328397996288209E-2</v>
      </c>
      <c r="C66" s="95">
        <f t="shared" ref="C66:F66" si="80">C53/C$49</f>
        <v>0.21051128082444986</v>
      </c>
      <c r="D66" s="95">
        <f t="shared" si="80"/>
        <v>3.5029243178435247E-2</v>
      </c>
      <c r="E66" s="95">
        <f t="shared" si="80"/>
        <v>1.3387836126851472E-2</v>
      </c>
      <c r="F66" s="95">
        <f t="shared" si="80"/>
        <v>0.13918971231360294</v>
      </c>
      <c r="G66" s="67">
        <f t="shared" si="68"/>
        <v>9.7489294087925546E-2</v>
      </c>
      <c r="H66" s="67">
        <f t="shared" si="73"/>
        <v>9.9121473306253011E-2</v>
      </c>
      <c r="I66" s="67">
        <f t="shared" si="74"/>
        <v>7.6843511802613645E-2</v>
      </c>
      <c r="J66" s="67">
        <f t="shared" si="75"/>
        <v>8.5206365527449313E-2</v>
      </c>
      <c r="K66" s="67">
        <f t="shared" si="76"/>
        <v>9.9570071407568878E-2</v>
      </c>
      <c r="L66" s="67">
        <f t="shared" si="77"/>
        <v>9.1646143226362081E-2</v>
      </c>
    </row>
    <row r="67" spans="1:12">
      <c r="A67" t="s">
        <v>171</v>
      </c>
      <c r="B67" s="95">
        <f t="shared" si="71"/>
        <v>0.36112864537146439</v>
      </c>
      <c r="C67" s="95">
        <f t="shared" ref="C67:F67" si="81">C54/C$49</f>
        <v>0.3988988553284798</v>
      </c>
      <c r="D67" s="95">
        <f t="shared" si="81"/>
        <v>0.20792931698125153</v>
      </c>
      <c r="E67" s="95">
        <f t="shared" si="81"/>
        <v>0.14338369188318154</v>
      </c>
      <c r="F67" s="95">
        <f t="shared" si="81"/>
        <v>0.14714991939079855</v>
      </c>
      <c r="G67" s="67">
        <f t="shared" si="68"/>
        <v>0.25169808579103514</v>
      </c>
      <c r="H67" s="67">
        <f t="shared" si="73"/>
        <v>0.22981197387494934</v>
      </c>
      <c r="I67" s="67">
        <f t="shared" si="74"/>
        <v>0.19599459758424323</v>
      </c>
      <c r="J67" s="67">
        <f t="shared" si="75"/>
        <v>0.19360765370484154</v>
      </c>
      <c r="K67" s="67">
        <f t="shared" si="76"/>
        <v>0.20365244606917354</v>
      </c>
      <c r="L67" s="67">
        <f t="shared" si="77"/>
        <v>0.21495295140484857</v>
      </c>
    </row>
    <row r="68" spans="1:12">
      <c r="A68" t="s">
        <v>78</v>
      </c>
      <c r="B68" s="95">
        <f t="shared" si="71"/>
        <v>2.5591666577118522E-2</v>
      </c>
      <c r="C68" s="95">
        <f t="shared" ref="C68:F68" si="82">C55/C$49</f>
        <v>3.2118248238026843E-2</v>
      </c>
      <c r="D68" s="95">
        <f t="shared" si="82"/>
        <v>6.6696747194196992E-2</v>
      </c>
      <c r="E68" s="95">
        <f t="shared" si="82"/>
        <v>0.10277276369948425</v>
      </c>
      <c r="F68" s="95">
        <f t="shared" si="82"/>
        <v>6.5983207407517994E-2</v>
      </c>
      <c r="G68" s="67">
        <f t="shared" si="68"/>
        <v>5.863252662326892E-2</v>
      </c>
      <c r="H68" s="67">
        <f t="shared" si="73"/>
        <v>6.5240698632498997E-2</v>
      </c>
      <c r="I68" s="67">
        <f t="shared" si="74"/>
        <v>7.1865188711393427E-2</v>
      </c>
      <c r="J68" s="67">
        <f t="shared" si="75"/>
        <v>7.2898877014832719E-2</v>
      </c>
      <c r="K68" s="67">
        <f t="shared" si="76"/>
        <v>6.6924099677902402E-2</v>
      </c>
      <c r="L68" s="67">
        <f t="shared" si="77"/>
        <v>6.71122781319793E-2</v>
      </c>
    </row>
    <row r="71" spans="1:12">
      <c r="A71" t="s">
        <v>237</v>
      </c>
      <c r="B71" s="64">
        <f>'4) Financial Statements'!B39</f>
        <v>293554093</v>
      </c>
      <c r="C71" s="64">
        <f>'4) Financial Statements'!C39</f>
        <v>482245050</v>
      </c>
      <c r="D71" s="64">
        <f>'4) Financial Statements'!D39</f>
        <v>1031754217</v>
      </c>
      <c r="E71" s="64">
        <f>'4) Financial Statements'!E39</f>
        <v>3665556676</v>
      </c>
      <c r="F71" s="64">
        <f>'4) Financial Statements'!F39</f>
        <v>6886952651</v>
      </c>
      <c r="G71" s="98">
        <f>G51</f>
        <v>8905417134.7019062</v>
      </c>
    </row>
    <row r="72" spans="1:12">
      <c r="A72" t="s">
        <v>238</v>
      </c>
      <c r="B72" s="64">
        <f>'4) Financial Statements'!B45</f>
        <v>85161167</v>
      </c>
      <c r="C72" s="64">
        <f>'4) Financial Statements'!C45</f>
        <v>83869806</v>
      </c>
      <c r="D72" s="64">
        <f>'4) Financial Statements'!D45</f>
        <v>269771457</v>
      </c>
      <c r="E72" s="64">
        <f>'4) Financial Statements'!E45</f>
        <v>853382678</v>
      </c>
      <c r="F72" s="64">
        <f>'4) Financial Statements'!F45</f>
        <v>1218164492</v>
      </c>
      <c r="G72" s="98">
        <f>F72*G73</f>
        <v>1459420401.6575856</v>
      </c>
    </row>
    <row r="73" spans="1:12">
      <c r="C73" s="144">
        <f>C72/B72-1</f>
        <v>-1.5163730670811448E-2</v>
      </c>
      <c r="D73" s="144">
        <f t="shared" ref="D73:F73" si="83">D72/C72-1</f>
        <v>2.2165503876329464</v>
      </c>
      <c r="E73" s="144">
        <f t="shared" si="83"/>
        <v>2.1633542239422314</v>
      </c>
      <c r="F73" s="144">
        <f t="shared" si="83"/>
        <v>0.42745397042146194</v>
      </c>
      <c r="G73" s="85">
        <f>AVERAGE(C73:F73)</f>
        <v>1.198048712831457</v>
      </c>
    </row>
    <row r="74" spans="1:12">
      <c r="A74" t="s">
        <v>239</v>
      </c>
      <c r="B74" s="56"/>
      <c r="C74" s="56">
        <f>C71/B71-1</f>
        <v>0.64278087582311438</v>
      </c>
      <c r="D74" s="56">
        <f t="shared" ref="D74:F74" si="84">D71/C71-1</f>
        <v>1.139481197370507</v>
      </c>
      <c r="E74" s="56">
        <f t="shared" si="84"/>
        <v>2.5527421314140364</v>
      </c>
      <c r="F74" s="56">
        <f t="shared" si="84"/>
        <v>0.87882858177910217</v>
      </c>
      <c r="G74" s="85">
        <f>AVERAGE(C74:F74)</f>
        <v>1.30345819659669</v>
      </c>
    </row>
    <row r="75" spans="1:12">
      <c r="A75" t="s">
        <v>55</v>
      </c>
      <c r="B75" s="96">
        <f>'4) Financial Statements'!B26</f>
        <v>588858045</v>
      </c>
      <c r="C75" s="96">
        <f>'4) Financial Statements'!C26</f>
        <v>1186625716</v>
      </c>
      <c r="D75" s="96">
        <f>'4) Financial Statements'!D26</f>
        <v>1275948509</v>
      </c>
      <c r="E75" s="96">
        <f>'4) Financial Statements'!E26</f>
        <v>2458458439</v>
      </c>
      <c r="F75" s="96">
        <f>'4) Financial Statements'!F26</f>
        <v>7394531088</v>
      </c>
      <c r="G75" s="64">
        <f>F75*G76</f>
        <v>7440684165.0534706</v>
      </c>
    </row>
    <row r="76" spans="1:12">
      <c r="C76" s="95">
        <f>C75/B75-1</f>
        <v>1.0151303460581915</v>
      </c>
      <c r="D76" s="95">
        <f t="shared" ref="D76:F76" si="85">D75/C75-1</f>
        <v>7.5274614223850067E-2</v>
      </c>
      <c r="E76" s="95">
        <f t="shared" si="85"/>
        <v>0.92676931840044974</v>
      </c>
      <c r="F76" s="95">
        <f t="shared" si="85"/>
        <v>2.0077917815067039</v>
      </c>
      <c r="G76" s="85">
        <f t="shared" ref="G76" si="86">AVERAGE(C76:F76)</f>
        <v>1.0062415150472988</v>
      </c>
    </row>
    <row r="79" spans="1:12">
      <c r="G79" s="98">
        <f>G72+G71</f>
        <v>10364837536.359491</v>
      </c>
      <c r="H79" s="101">
        <f>G79/G7</f>
        <v>6751746.1134518757</v>
      </c>
    </row>
    <row r="80" spans="1:12">
      <c r="G80" s="98">
        <f>G75</f>
        <v>7440684165.0534706</v>
      </c>
      <c r="H80" s="101">
        <f>G80/G7</f>
        <v>4846926.9505277704</v>
      </c>
    </row>
  </sheetData>
  <pageMargins left="0.7" right="0.7" top="0.75" bottom="0.75" header="0.3" footer="0.3"/>
  <pageSetup paperSize="9" orientation="portrait" r:id="rId1"/>
  <ignoredErrors>
    <ignoredError sqref="G75" formula="1"/>
  </ignoredError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513E7-72EC-4C62-B737-486179A72DF3}">
  <sheetPr>
    <tabColor rgb="FF002060"/>
  </sheetPr>
  <dimension ref="B1:O47"/>
  <sheetViews>
    <sheetView showGridLines="0" zoomScale="80" zoomScaleNormal="80" workbookViewId="0">
      <pane ySplit="1" topLeftCell="A2" activePane="bottomLeft" state="frozen"/>
      <selection pane="bottomLeft" activeCell="P42" sqref="P42"/>
    </sheetView>
  </sheetViews>
  <sheetFormatPr baseColWidth="10" defaultRowHeight="14.25"/>
  <cols>
    <col min="2" max="2" width="30.625" bestFit="1" customWidth="1"/>
    <col min="3" max="7" width="18.625" bestFit="1" customWidth="1"/>
    <col min="9" max="9" width="19.375" bestFit="1" customWidth="1"/>
    <col min="10" max="10" width="17.625" bestFit="1" customWidth="1"/>
  </cols>
  <sheetData>
    <row r="1" spans="2:13" ht="15">
      <c r="B1" s="2"/>
      <c r="C1" s="5" t="s">
        <v>29</v>
      </c>
      <c r="D1" s="5" t="s">
        <v>30</v>
      </c>
      <c r="E1" s="5" t="s">
        <v>31</v>
      </c>
      <c r="F1" s="5" t="s">
        <v>32</v>
      </c>
      <c r="G1" s="5" t="s">
        <v>33</v>
      </c>
    </row>
    <row r="2" spans="2:13" ht="15">
      <c r="B2" s="7" t="s">
        <v>35</v>
      </c>
      <c r="C2" s="89">
        <f>'6) Proyecciones'!H$7</f>
        <v>1715.4564983467526</v>
      </c>
      <c r="D2" s="89">
        <f>'6) Proyecciones'!I$7</f>
        <v>1838.6131695796785</v>
      </c>
      <c r="E2" s="89">
        <f>'6) Proyecciones'!J$7</f>
        <v>1933.0624762361688</v>
      </c>
      <c r="F2" s="89">
        <f>'6) Proyecciones'!K$7</f>
        <v>2033.3093561192579</v>
      </c>
      <c r="G2" s="89">
        <f>'6) Proyecciones'!L$7</f>
        <v>2138.7549489512744</v>
      </c>
    </row>
    <row r="3" spans="2:13">
      <c r="B3" s="45" t="s">
        <v>38</v>
      </c>
      <c r="C3" s="90">
        <f>'6) Proyecciones'!H42</f>
        <v>7854153869.3632011</v>
      </c>
      <c r="D3" s="90">
        <f>'6) Proyecciones'!I42</f>
        <v>8796652333.6867867</v>
      </c>
      <c r="E3" s="90">
        <f>'6) Proyecciones'!J42</f>
        <v>9852250613.7292023</v>
      </c>
      <c r="F3" s="90">
        <f>'6) Proyecciones'!K42</f>
        <v>11034520687.376707</v>
      </c>
      <c r="G3" s="90">
        <f>'6) Proyecciones'!L42</f>
        <v>12358663169.861914</v>
      </c>
    </row>
    <row r="4" spans="2:13" ht="15" thickBot="1"/>
    <row r="5" spans="2:13">
      <c r="I5" s="8" t="s">
        <v>44</v>
      </c>
      <c r="J5" s="39">
        <v>0.04</v>
      </c>
      <c r="K5" s="182" t="s">
        <v>51</v>
      </c>
      <c r="L5" s="183"/>
    </row>
    <row r="6" spans="2:13">
      <c r="I6" s="9" t="s">
        <v>45</v>
      </c>
      <c r="J6" s="40">
        <f>J5+0.005</f>
        <v>4.4999999999999998E-2</v>
      </c>
      <c r="K6" s="184"/>
      <c r="L6" s="185"/>
      <c r="M6" t="s">
        <v>224</v>
      </c>
    </row>
    <row r="7" spans="2:13" ht="15" thickBot="1">
      <c r="I7" s="9" t="s">
        <v>46</v>
      </c>
      <c r="J7" s="40">
        <v>0.08</v>
      </c>
      <c r="K7" s="184"/>
      <c r="L7" s="185"/>
      <c r="M7" t="s">
        <v>269</v>
      </c>
    </row>
    <row r="8" spans="2:13" ht="15.75" thickBot="1">
      <c r="B8" s="6" t="s">
        <v>34</v>
      </c>
      <c r="I8" s="9" t="s">
        <v>47</v>
      </c>
      <c r="J8" s="92">
        <f>'1) Estadística'!P53</f>
        <v>0.87767650557893551</v>
      </c>
      <c r="K8" s="184"/>
      <c r="L8" s="185"/>
    </row>
    <row r="9" spans="2:13" ht="15">
      <c r="B9" s="4" t="s">
        <v>24</v>
      </c>
      <c r="C9" s="90">
        <f>'6) Proyecciones'!H14</f>
        <v>96285694377.599228</v>
      </c>
      <c r="D9" s="90">
        <f>'6) Proyecciones'!I14</f>
        <v>104230254369.22716</v>
      </c>
      <c r="E9" s="90">
        <f>'6) Proyecciones'!J14</f>
        <v>110461224644.12178</v>
      </c>
      <c r="F9" s="90">
        <f>'6) Proyecciones'!K14</f>
        <v>117090114060.90729</v>
      </c>
      <c r="G9" s="90">
        <f>'6) Proyecciones'!L14</f>
        <v>124086019236.88007</v>
      </c>
      <c r="I9" s="10" t="s">
        <v>48</v>
      </c>
      <c r="J9" s="14">
        <f>J5+J6+(J8*(J7-J5))</f>
        <v>0.12010706022315741</v>
      </c>
      <c r="K9" s="184"/>
      <c r="L9" s="185"/>
    </row>
    <row r="10" spans="2:13" ht="15">
      <c r="B10" s="3" t="s">
        <v>25</v>
      </c>
      <c r="C10" s="90">
        <f>'6) Proyecciones'!H18</f>
        <v>-61693497565.030273</v>
      </c>
      <c r="D10" s="90">
        <f>'6) Proyecciones'!I18</f>
        <v>-66783845572.249527</v>
      </c>
      <c r="E10" s="90">
        <f>'6) Proyecciones'!J18</f>
        <v>-70776238751.390579</v>
      </c>
      <c r="F10" s="90">
        <f>'6) Proyecciones'!K18</f>
        <v>-75023592169.121719</v>
      </c>
      <c r="G10" s="90">
        <f>'6) Proyecciones'!L18</f>
        <v>-79506104984.02095</v>
      </c>
      <c r="I10" s="10" t="s">
        <v>49</v>
      </c>
      <c r="J10" s="41">
        <v>0.09</v>
      </c>
      <c r="K10" s="184"/>
      <c r="L10" s="185"/>
    </row>
    <row r="11" spans="2:13" ht="15">
      <c r="B11" s="1" t="s">
        <v>26</v>
      </c>
      <c r="C11" s="94">
        <f t="shared" ref="C11:G11" si="0">C9+C10</f>
        <v>34592196812.568954</v>
      </c>
      <c r="D11" s="94">
        <f t="shared" si="0"/>
        <v>37446408796.977631</v>
      </c>
      <c r="E11" s="94">
        <f t="shared" si="0"/>
        <v>39684985892.731201</v>
      </c>
      <c r="F11" s="94">
        <f t="shared" si="0"/>
        <v>42066521891.785568</v>
      </c>
      <c r="G11" s="94">
        <f t="shared" si="0"/>
        <v>44579914252.859116</v>
      </c>
      <c r="I11" s="9" t="s">
        <v>40</v>
      </c>
      <c r="J11" s="40">
        <f>-'4) Financial Statements'!G24</f>
        <v>0.35494429148995377</v>
      </c>
      <c r="K11" s="184"/>
      <c r="L11" s="185"/>
    </row>
    <row r="12" spans="2:13">
      <c r="B12" s="3" t="s">
        <v>27</v>
      </c>
      <c r="C12" s="90">
        <f>'6) Proyecciones'!H25</f>
        <v>-10955280154.612501</v>
      </c>
      <c r="D12" s="90">
        <f>'6) Proyecciones'!I25</f>
        <v>-11503044162.343126</v>
      </c>
      <c r="E12" s="90">
        <f>'6) Proyecciones'!J25</f>
        <v>-12078196370.460283</v>
      </c>
      <c r="F12" s="90">
        <f>'6) Proyecciones'!K25</f>
        <v>-12682106188.983297</v>
      </c>
      <c r="G12" s="90">
        <f>'6) Proyecciones'!L25</f>
        <v>-13316211498.432463</v>
      </c>
      <c r="I12" s="9" t="s">
        <v>50</v>
      </c>
      <c r="J12" s="42">
        <f>'4) Financial Statements'!F53/('4) Financial Statements'!F53+'4) Financial Statements'!F45+'4) Financial Statements'!F39)</f>
        <v>0.79906040461144423</v>
      </c>
      <c r="K12" s="184"/>
      <c r="L12" s="185"/>
      <c r="M12" t="s">
        <v>225</v>
      </c>
    </row>
    <row r="13" spans="2:13" ht="15.75" thickBot="1">
      <c r="B13" s="1" t="s">
        <v>28</v>
      </c>
      <c r="C13" s="94">
        <f t="shared" ref="C13:G13" si="1">C11+C12</f>
        <v>23636916657.956451</v>
      </c>
      <c r="D13" s="94">
        <f t="shared" si="1"/>
        <v>25943364634.634506</v>
      </c>
      <c r="E13" s="94">
        <f t="shared" si="1"/>
        <v>27606789522.27092</v>
      </c>
      <c r="F13" s="94">
        <f t="shared" si="1"/>
        <v>29384415702.802269</v>
      </c>
      <c r="G13" s="94">
        <f t="shared" si="1"/>
        <v>31263702754.426651</v>
      </c>
      <c r="I13" s="11" t="s">
        <v>51</v>
      </c>
      <c r="J13" s="13">
        <f>(J9*J12)+(J10*(1-J11)*(1-J12))</f>
        <v>0.10763834711500508</v>
      </c>
      <c r="K13" s="186"/>
      <c r="L13" s="187"/>
      <c r="M13" t="s">
        <v>226</v>
      </c>
    </row>
    <row r="14" spans="2:13" ht="15.75" thickBot="1">
      <c r="B14" s="3" t="s">
        <v>36</v>
      </c>
      <c r="C14" s="94">
        <f>-C13*$J$11</f>
        <v>-8389788636.1654387</v>
      </c>
      <c r="D14" s="94">
        <f>-D13*$J$11</f>
        <v>-9208449179.1058674</v>
      </c>
      <c r="E14" s="94">
        <f>-E13*$J$11</f>
        <v>-9798872347.2947311</v>
      </c>
      <c r="F14" s="94">
        <f>-F13*$J$11</f>
        <v>-10429830612.477423</v>
      </c>
      <c r="G14" s="94">
        <f>-G13*$J$11</f>
        <v>-11096872823.522484</v>
      </c>
      <c r="I14" s="12" t="s">
        <v>52</v>
      </c>
      <c r="J14" s="43">
        <v>2.5000000000000001E-2</v>
      </c>
    </row>
    <row r="15" spans="2:13">
      <c r="B15" s="3" t="s">
        <v>37</v>
      </c>
      <c r="C15" s="90">
        <f>'6) Proyecciones'!H32</f>
        <v>1644058182.9587662</v>
      </c>
      <c r="D15" s="90">
        <f>'6) Proyecciones'!I32</f>
        <v>1730927536.8418853</v>
      </c>
      <c r="E15" s="90">
        <f>'6) Proyecciones'!J32</f>
        <v>1822386925.750705</v>
      </c>
      <c r="F15" s="90">
        <f>'6) Proyecciones'!K32</f>
        <v>1918678879.6523011</v>
      </c>
      <c r="G15" s="90">
        <f>'6) Proyecciones'!L32</f>
        <v>2020058743.4017839</v>
      </c>
    </row>
    <row r="16" spans="2:13">
      <c r="B16" s="3" t="s">
        <v>38</v>
      </c>
      <c r="C16" s="94">
        <f t="shared" ref="C16:G16" si="2">C3*-1</f>
        <v>-7854153869.3632011</v>
      </c>
      <c r="D16" s="94">
        <f t="shared" si="2"/>
        <v>-8796652333.6867867</v>
      </c>
      <c r="E16" s="94">
        <f t="shared" si="2"/>
        <v>-9852250613.7292023</v>
      </c>
      <c r="F16" s="94">
        <f t="shared" si="2"/>
        <v>-11034520687.376707</v>
      </c>
      <c r="G16" s="94">
        <f t="shared" si="2"/>
        <v>-12358663169.861914</v>
      </c>
    </row>
    <row r="17" spans="2:9">
      <c r="B17" s="3" t="s">
        <v>39</v>
      </c>
      <c r="C17" s="90">
        <f>'6) Proyecciones'!H39</f>
        <v>-2642294627.768692</v>
      </c>
      <c r="D17" s="90">
        <f>'6) Proyecciones'!I39</f>
        <v>-3031929774.4913721</v>
      </c>
      <c r="E17" s="90">
        <f>'6) Proyecciones'!J39</f>
        <v>-3153206965.4710269</v>
      </c>
      <c r="F17" s="90">
        <f>'6) Proyecciones'!K39</f>
        <v>-3279335244.0898681</v>
      </c>
      <c r="G17" s="90">
        <f>'6) Proyecciones'!L39</f>
        <v>-3410508653.8534627</v>
      </c>
      <c r="I17" s="121"/>
    </row>
    <row r="18" spans="2:9" ht="15">
      <c r="B18" s="1" t="s">
        <v>42</v>
      </c>
      <c r="C18" s="94">
        <f t="shared" ref="C18:G18" si="3">SUM(C13:C17)</f>
        <v>6394737707.6178856</v>
      </c>
      <c r="D18" s="94">
        <f t="shared" si="3"/>
        <v>6637260884.1923666</v>
      </c>
      <c r="E18" s="94">
        <f t="shared" si="3"/>
        <v>6624846521.5266647</v>
      </c>
      <c r="F18" s="94">
        <f t="shared" si="3"/>
        <v>6559408038.5105705</v>
      </c>
      <c r="G18" s="94">
        <f t="shared" si="3"/>
        <v>6417716850.5905743</v>
      </c>
    </row>
    <row r="20" spans="2:9" ht="15" thickBot="1"/>
    <row r="21" spans="2:9" ht="15">
      <c r="B21" s="16" t="s">
        <v>41</v>
      </c>
    </row>
    <row r="22" spans="2:9">
      <c r="B22" s="3" t="s">
        <v>24</v>
      </c>
      <c r="C22" s="94">
        <f t="shared" ref="C22:G22" si="4">C9/C$2</f>
        <v>56128321.802618273</v>
      </c>
      <c r="D22" s="94">
        <f t="shared" si="4"/>
        <v>56689605.020644456</v>
      </c>
      <c r="E22" s="94">
        <f t="shared" si="4"/>
        <v>57143121.860809617</v>
      </c>
      <c r="F22" s="94">
        <f t="shared" si="4"/>
        <v>57585981.055230878</v>
      </c>
      <c r="G22" s="94">
        <f t="shared" si="4"/>
        <v>58017875.913145117</v>
      </c>
    </row>
    <row r="23" spans="2:9">
      <c r="B23" s="3" t="s">
        <v>25</v>
      </c>
      <c r="C23" s="94">
        <f t="shared" ref="C23:G23" si="5">C10/C$2</f>
        <v>-35963312.170542665</v>
      </c>
      <c r="D23" s="94">
        <f t="shared" si="5"/>
        <v>-36322945.292248093</v>
      </c>
      <c r="E23" s="94">
        <f t="shared" si="5"/>
        <v>-36613528.85458608</v>
      </c>
      <c r="F23" s="94">
        <f t="shared" si="5"/>
        <v>-36897283.703209117</v>
      </c>
      <c r="G23" s="94">
        <f t="shared" si="5"/>
        <v>-37174013.330983192</v>
      </c>
    </row>
    <row r="24" spans="2:9" ht="15">
      <c r="B24" s="1" t="s">
        <v>26</v>
      </c>
      <c r="C24" s="94">
        <f t="shared" ref="C24:G24" si="6">C22+C23</f>
        <v>20165009.632075608</v>
      </c>
      <c r="D24" s="94">
        <f t="shared" si="6"/>
        <v>20366659.728396364</v>
      </c>
      <c r="E24" s="94">
        <f t="shared" si="6"/>
        <v>20529593.006223537</v>
      </c>
      <c r="F24" s="94">
        <f t="shared" si="6"/>
        <v>20688697.352021761</v>
      </c>
      <c r="G24" s="94">
        <f t="shared" si="6"/>
        <v>20843862.582161926</v>
      </c>
    </row>
    <row r="25" spans="2:9">
      <c r="B25" s="3" t="s">
        <v>27</v>
      </c>
      <c r="C25" s="94">
        <f t="shared" ref="C25:G25" si="7">C12/C$2</f>
        <v>-6386218.5751550682</v>
      </c>
      <c r="D25" s="94">
        <f t="shared" si="7"/>
        <v>-6256369.9383121533</v>
      </c>
      <c r="E25" s="94">
        <f t="shared" si="7"/>
        <v>-6248218.3162426921</v>
      </c>
      <c r="F25" s="94">
        <f t="shared" si="7"/>
        <v>-6237174.9536372395</v>
      </c>
      <c r="G25" s="94">
        <f t="shared" si="7"/>
        <v>-6226151.1095331358</v>
      </c>
    </row>
    <row r="26" spans="2:9" ht="15">
      <c r="B26" s="1" t="s">
        <v>28</v>
      </c>
      <c r="C26" s="94">
        <f t="shared" ref="C26:G26" si="8">C24+C25</f>
        <v>13778791.05692054</v>
      </c>
      <c r="D26" s="94">
        <f t="shared" si="8"/>
        <v>14110289.790084209</v>
      </c>
      <c r="E26" s="94">
        <f t="shared" si="8"/>
        <v>14281374.689980846</v>
      </c>
      <c r="F26" s="94">
        <f t="shared" si="8"/>
        <v>14451522.398384523</v>
      </c>
      <c r="G26" s="94">
        <f t="shared" si="8"/>
        <v>14617711.472628791</v>
      </c>
      <c r="H26" s="146"/>
    </row>
    <row r="27" spans="2:9">
      <c r="B27" s="3" t="s">
        <v>36</v>
      </c>
      <c r="C27" s="94">
        <f t="shared" ref="C27:F27" si="9">C14/C$2</f>
        <v>-4890703.2292867703</v>
      </c>
      <c r="D27" s="94">
        <f t="shared" si="9"/>
        <v>-5008366.8122593686</v>
      </c>
      <c r="E27" s="94">
        <f t="shared" si="9"/>
        <v>-5069092.4208378093</v>
      </c>
      <c r="F27" s="94">
        <f t="shared" si="9"/>
        <v>-5129485.3786457917</v>
      </c>
      <c r="G27" s="94">
        <f>G14/G$2</f>
        <v>-5188473.2418567957</v>
      </c>
      <c r="H27" s="146"/>
    </row>
    <row r="28" spans="2:9">
      <c r="B28" s="3" t="s">
        <v>37</v>
      </c>
      <c r="C28" s="94">
        <f t="shared" ref="C28:G28" si="10">C15/C$2</f>
        <v>958379.40778049722</v>
      </c>
      <c r="D28" s="94">
        <f t="shared" si="10"/>
        <v>941431.05547187454</v>
      </c>
      <c r="E28" s="94">
        <f t="shared" si="10"/>
        <v>942746.00441215013</v>
      </c>
      <c r="F28" s="94">
        <f t="shared" si="10"/>
        <v>943623.69104240055</v>
      </c>
      <c r="G28" s="94">
        <f t="shared" si="10"/>
        <v>944502.19478968717</v>
      </c>
      <c r="H28" s="146"/>
    </row>
    <row r="29" spans="2:9">
      <c r="B29" s="3" t="s">
        <v>38</v>
      </c>
      <c r="C29" s="94">
        <f t="shared" ref="C29:F29" si="11">C16/C$2</f>
        <v>-4578462.8621783955</v>
      </c>
      <c r="D29" s="94">
        <f t="shared" si="11"/>
        <v>-4784395.3688734705</v>
      </c>
      <c r="E29" s="94">
        <f t="shared" si="11"/>
        <v>-5096705.7375777848</v>
      </c>
      <c r="F29" s="94">
        <f t="shared" si="11"/>
        <v>-5426877.4469404984</v>
      </c>
      <c r="G29" s="94">
        <f>G16/G$2</f>
        <v>-5778438.140340439</v>
      </c>
      <c r="H29" s="146"/>
    </row>
    <row r="30" spans="2:9">
      <c r="B30" s="3" t="s">
        <v>39</v>
      </c>
      <c r="C30" s="94">
        <f t="shared" ref="C30:F30" si="12">C17/C$2</f>
        <v>-1540286.582793074</v>
      </c>
      <c r="D30" s="94">
        <f t="shared" si="12"/>
        <v>-1649030.8155382653</v>
      </c>
      <c r="E30" s="94">
        <f t="shared" si="12"/>
        <v>-1631197.6484125745</v>
      </c>
      <c r="F30" s="94">
        <f t="shared" si="12"/>
        <v>-1612806.8432974485</v>
      </c>
      <c r="G30" s="94">
        <f>G17/G$2</f>
        <v>-1594623.3838176669</v>
      </c>
      <c r="H30" s="146"/>
    </row>
    <row r="31" spans="2:9" ht="15">
      <c r="B31" s="1" t="s">
        <v>42</v>
      </c>
      <c r="C31" s="94">
        <f t="shared" ref="C31:F31" si="13">SUM(C26:C30)</f>
        <v>3727717.7904427955</v>
      </c>
      <c r="D31" s="94">
        <f t="shared" si="13"/>
        <v>3609927.8488849797</v>
      </c>
      <c r="E31" s="94">
        <f t="shared" si="13"/>
        <v>3427124.8875648282</v>
      </c>
      <c r="F31" s="94">
        <f t="shared" si="13"/>
        <v>3225976.420543184</v>
      </c>
      <c r="G31" s="145">
        <f>SUM(G26:G30)</f>
        <v>3000678.9014035771</v>
      </c>
    </row>
    <row r="32" spans="2:9">
      <c r="B32" s="3" t="s">
        <v>43</v>
      </c>
      <c r="C32" s="94">
        <f>C31</f>
        <v>3727717.7904427955</v>
      </c>
      <c r="D32" s="94">
        <f>D31/(1+$J$13)</f>
        <v>3259121.407531193</v>
      </c>
      <c r="E32" s="94">
        <f>E31/(1+$J$13)^2</f>
        <v>2793405.3787913946</v>
      </c>
      <c r="F32" s="94">
        <f>F31/(1+$J$13)^3</f>
        <v>2373926.3447645055</v>
      </c>
      <c r="G32" s="94">
        <f>G31/(1+$J$13)^4</f>
        <v>1993552.1139598426</v>
      </c>
    </row>
    <row r="33" spans="2:15" ht="15">
      <c r="B33" s="1" t="s">
        <v>113</v>
      </c>
      <c r="C33" s="97">
        <f>SUM(C32:G32)</f>
        <v>14147723.035489732</v>
      </c>
    </row>
    <row r="36" spans="2:15">
      <c r="D36" s="3" t="s">
        <v>110</v>
      </c>
      <c r="E36" s="93">
        <f>C33</f>
        <v>14147723.035489732</v>
      </c>
      <c r="I36" s="3" t="s">
        <v>62</v>
      </c>
      <c r="J36" s="93">
        <f>E41*E43</f>
        <v>36153186.963333249</v>
      </c>
      <c r="L36" s="3" t="s">
        <v>100</v>
      </c>
      <c r="M36" s="3" t="s">
        <v>63</v>
      </c>
    </row>
    <row r="37" spans="2:15" ht="15" thickBot="1">
      <c r="D37" s="3" t="s">
        <v>52</v>
      </c>
      <c r="E37" s="93">
        <f>(G31*(1+$J$14))/(J13-J14)</f>
        <v>37218748.696150959</v>
      </c>
      <c r="I37" s="3" t="s">
        <v>54</v>
      </c>
      <c r="J37" s="91">
        <f>E38</f>
        <v>6751746.1134518757</v>
      </c>
      <c r="L37" s="3" t="s">
        <v>200</v>
      </c>
      <c r="M37" s="3">
        <v>15.83</v>
      </c>
    </row>
    <row r="38" spans="2:15">
      <c r="C38" s="180" t="s">
        <v>56</v>
      </c>
      <c r="D38" s="3" t="s">
        <v>54</v>
      </c>
      <c r="E38" s="91">
        <f>('6) Proyecciones'!G71+'6) Proyecciones'!G72)/'6) Proyecciones'!G7</f>
        <v>6751746.1134518757</v>
      </c>
      <c r="I38" s="3" t="s">
        <v>55</v>
      </c>
      <c r="J38" s="91">
        <f>E39</f>
        <v>4846926.9505277704</v>
      </c>
      <c r="L38" s="3" t="s">
        <v>116</v>
      </c>
      <c r="M38" s="99">
        <f>Relative_Valuation!B29</f>
        <v>1.9085613841691145</v>
      </c>
    </row>
    <row r="39" spans="2:15" ht="15" thickBot="1">
      <c r="C39" s="181"/>
      <c r="D39" s="3" t="s">
        <v>55</v>
      </c>
      <c r="E39" s="91">
        <f>'6) Proyecciones'!G75/'6) Proyecciones'!G7</f>
        <v>4846926.9505277704</v>
      </c>
      <c r="I39" s="3" t="s">
        <v>53</v>
      </c>
      <c r="J39" s="93">
        <f>J36+J37-J38</f>
        <v>38058006.126257353</v>
      </c>
      <c r="L39" s="3" t="s">
        <v>201</v>
      </c>
      <c r="M39" s="3">
        <v>11.89</v>
      </c>
    </row>
    <row r="40" spans="2:15">
      <c r="D40" s="3" t="s">
        <v>57</v>
      </c>
      <c r="E40" s="93">
        <f>E36+E37-E38+E39</f>
        <v>49461652.568716586</v>
      </c>
      <c r="F40" s="121"/>
      <c r="I40" s="3" t="s">
        <v>111</v>
      </c>
      <c r="J40" s="91">
        <f>('6) Proyecciones'!G14+'6) Proyecciones'!G18)/'6) Proyecciones'!G7</f>
        <v>19940677.01564955</v>
      </c>
      <c r="L40" s="3" t="s">
        <v>202</v>
      </c>
      <c r="M40" s="3">
        <v>11.94</v>
      </c>
    </row>
    <row r="41" spans="2:15">
      <c r="D41" s="3" t="s">
        <v>58</v>
      </c>
      <c r="E41" s="91">
        <v>1200000000</v>
      </c>
      <c r="L41" s="3" t="s">
        <v>203</v>
      </c>
      <c r="M41" s="3">
        <v>8.75</v>
      </c>
      <c r="O41" s="121"/>
    </row>
    <row r="42" spans="2:15">
      <c r="D42" s="3" t="s">
        <v>59</v>
      </c>
      <c r="E42" s="17">
        <f>E40/E41</f>
        <v>4.1218043807263821E-2</v>
      </c>
      <c r="O42" s="121"/>
    </row>
    <row r="43" spans="2:15">
      <c r="D43" s="3" t="s">
        <v>60</v>
      </c>
      <c r="E43" s="143">
        <f>46.25/'6) Proyecciones'!G7</f>
        <v>3.0127655802777709E-2</v>
      </c>
      <c r="O43" s="121"/>
    </row>
    <row r="44" spans="2:15">
      <c r="D44" s="3" t="s">
        <v>61</v>
      </c>
      <c r="E44" s="152">
        <f>(E42/E43)-1</f>
        <v>0.36811320725005103</v>
      </c>
      <c r="G44" s="175"/>
    </row>
    <row r="45" spans="2:15">
      <c r="E45" s="95"/>
    </row>
    <row r="46" spans="2:15">
      <c r="D46" t="s">
        <v>244</v>
      </c>
      <c r="E46" s="95">
        <f>'6) Proyecciones'!G3</f>
        <v>0.31951456310679616</v>
      </c>
    </row>
    <row r="47" spans="2:15">
      <c r="D47" t="s">
        <v>245</v>
      </c>
      <c r="E47" s="95">
        <f>(1+E44*1+E46)-1</f>
        <v>0.68762777035684719</v>
      </c>
      <c r="F47" s="86" t="s">
        <v>246</v>
      </c>
    </row>
  </sheetData>
  <mergeCells count="2">
    <mergeCell ref="C38:C39"/>
    <mergeCell ref="K5:L13"/>
  </mergeCells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9662A-A388-4E21-B808-B7EE966F2236}">
  <dimension ref="A3:G29"/>
  <sheetViews>
    <sheetView workbookViewId="0">
      <selection activeCell="B28" sqref="B28:G28"/>
    </sheetView>
  </sheetViews>
  <sheetFormatPr baseColWidth="10" defaultRowHeight="14.25"/>
  <cols>
    <col min="1" max="1" width="20.25" bestFit="1" customWidth="1"/>
    <col min="2" max="5" width="13.625" bestFit="1" customWidth="1"/>
    <col min="6" max="6" width="14.625" bestFit="1" customWidth="1"/>
    <col min="7" max="7" width="17.25" bestFit="1" customWidth="1"/>
  </cols>
  <sheetData>
    <row r="3" spans="1:7">
      <c r="A3" s="3" t="s">
        <v>248</v>
      </c>
      <c r="B3" s="193">
        <v>2020</v>
      </c>
      <c r="C3" s="193">
        <v>2021</v>
      </c>
      <c r="D3" s="193">
        <v>2022</v>
      </c>
      <c r="E3" s="193">
        <v>2023</v>
      </c>
      <c r="F3" s="193">
        <v>2024</v>
      </c>
      <c r="G3" s="194" t="s">
        <v>264</v>
      </c>
    </row>
    <row r="4" spans="1:7">
      <c r="A4" s="3" t="s">
        <v>249</v>
      </c>
      <c r="B4" s="80">
        <f>'6) Proyecciones'!B14+'6) Proyecciones'!B18</f>
        <v>1403390431</v>
      </c>
      <c r="C4" s="80">
        <f>'6) Proyecciones'!C14+'6) Proyecciones'!C18</f>
        <v>3211356644</v>
      </c>
      <c r="D4" s="80">
        <f>'6) Proyecciones'!D14+'6) Proyecciones'!D18</f>
        <v>5980667786</v>
      </c>
      <c r="E4" s="80">
        <f>'6) Proyecciones'!E14+'6) Proyecciones'!E18</f>
        <v>6739258077</v>
      </c>
      <c r="F4" s="80">
        <f>'6) Proyecciones'!F14+'6) Proyecciones'!F18</f>
        <v>18992202444</v>
      </c>
      <c r="G4" s="80">
        <f>'6) Proyecciones'!G14+'6) Proyecciones'!G18</f>
        <v>30611618707.113663</v>
      </c>
    </row>
    <row r="5" spans="1:7">
      <c r="A5" s="3" t="s">
        <v>250</v>
      </c>
      <c r="B5" s="80">
        <v>100000000</v>
      </c>
      <c r="C5" s="80">
        <v>100000000</v>
      </c>
      <c r="D5" s="80">
        <v>100000000</v>
      </c>
      <c r="E5" s="80">
        <f>[2]FCFF!$E$41</f>
        <v>1200000000</v>
      </c>
      <c r="F5" s="80">
        <f>[2]FCFF!$E$41</f>
        <v>1200000000</v>
      </c>
      <c r="G5" s="80">
        <f>[2]FCFF!$E$41</f>
        <v>1200000000</v>
      </c>
    </row>
    <row r="6" spans="1:7">
      <c r="A6" s="3" t="s">
        <v>251</v>
      </c>
      <c r="B6" s="188">
        <f>B4/B5</f>
        <v>14.03390431</v>
      </c>
      <c r="C6" s="188">
        <f t="shared" ref="C6:G6" si="0">C4/C5</f>
        <v>32.11356644</v>
      </c>
      <c r="D6" s="188">
        <f t="shared" si="0"/>
        <v>59.806677860000001</v>
      </c>
      <c r="E6" s="188">
        <f t="shared" si="0"/>
        <v>5.6160483975000002</v>
      </c>
      <c r="F6" s="188">
        <f t="shared" si="0"/>
        <v>15.82683537</v>
      </c>
      <c r="G6" s="189">
        <f t="shared" si="0"/>
        <v>25.509682255928052</v>
      </c>
    </row>
    <row r="7" spans="1:7">
      <c r="G7" s="173">
        <f>G6/'6) Proyecciones'!G7</f>
        <v>1.6617230846374623E-2</v>
      </c>
    </row>
    <row r="9" spans="1:7">
      <c r="A9" s="193" t="s">
        <v>99</v>
      </c>
      <c r="B9" s="193" t="s">
        <v>100</v>
      </c>
      <c r="C9" s="193" t="s">
        <v>252</v>
      </c>
    </row>
    <row r="10" spans="1:7">
      <c r="A10" s="3" t="s">
        <v>253</v>
      </c>
      <c r="B10" s="3" t="s">
        <v>200</v>
      </c>
      <c r="C10" s="3">
        <v>5.61</v>
      </c>
    </row>
    <row r="11" spans="1:7">
      <c r="A11" s="3" t="s">
        <v>115</v>
      </c>
      <c r="B11" s="3" t="s">
        <v>254</v>
      </c>
      <c r="C11" s="3">
        <v>1.78</v>
      </c>
    </row>
    <row r="12" spans="1:7">
      <c r="A12" s="3" t="s">
        <v>255</v>
      </c>
      <c r="B12" s="3" t="s">
        <v>256</v>
      </c>
      <c r="C12" s="3">
        <v>0.93</v>
      </c>
    </row>
    <row r="13" spans="1:7">
      <c r="A13" s="3" t="s">
        <v>257</v>
      </c>
      <c r="B13" s="3" t="s">
        <v>258</v>
      </c>
      <c r="C13" s="3">
        <v>1.34</v>
      </c>
    </row>
    <row r="14" spans="1:7">
      <c r="A14" s="3" t="s">
        <v>259</v>
      </c>
      <c r="B14" s="100" t="s">
        <v>116</v>
      </c>
      <c r="C14" s="99">
        <v>0.67</v>
      </c>
    </row>
    <row r="15" spans="1:7">
      <c r="A15" s="3" t="s">
        <v>260</v>
      </c>
      <c r="B15" s="190">
        <v>6326</v>
      </c>
      <c r="C15" s="3">
        <v>0.77</v>
      </c>
    </row>
    <row r="16" spans="1:7">
      <c r="A16" s="3" t="s">
        <v>261</v>
      </c>
      <c r="B16" s="3" t="s">
        <v>201</v>
      </c>
      <c r="C16" s="3">
        <v>2.12</v>
      </c>
    </row>
    <row r="17" spans="1:7">
      <c r="A17" s="3" t="s">
        <v>262</v>
      </c>
      <c r="B17" s="3" t="s">
        <v>202</v>
      </c>
      <c r="C17" s="3">
        <v>2.11</v>
      </c>
    </row>
    <row r="18" spans="1:7">
      <c r="A18" s="3" t="s">
        <v>263</v>
      </c>
      <c r="B18" s="3"/>
      <c r="C18" s="99">
        <f>AVERAGE(C11:C17)</f>
        <v>1.3885714285714286</v>
      </c>
    </row>
    <row r="20" spans="1:7">
      <c r="A20" s="193" t="s">
        <v>265</v>
      </c>
      <c r="B20" s="3">
        <v>2</v>
      </c>
    </row>
    <row r="21" spans="1:7">
      <c r="A21" s="193" t="s">
        <v>266</v>
      </c>
      <c r="B21" s="189">
        <f>B20*G6</f>
        <v>51.019364511856104</v>
      </c>
    </row>
    <row r="22" spans="1:7">
      <c r="A22" s="193" t="s">
        <v>267</v>
      </c>
      <c r="B22" s="191">
        <f>B21/'6) Proyecciones'!G7</f>
        <v>3.3234461692749247E-2</v>
      </c>
    </row>
    <row r="23" spans="1:7">
      <c r="A23" s="193" t="s">
        <v>268</v>
      </c>
      <c r="B23" s="192">
        <f>FCFF!E43</f>
        <v>3.0127655802777709E-2</v>
      </c>
    </row>
    <row r="24" spans="1:7">
      <c r="A24" s="193" t="s">
        <v>61</v>
      </c>
      <c r="B24" s="117">
        <f>B22/B23-1</f>
        <v>0.10312139485094285</v>
      </c>
    </row>
    <row r="28" spans="1:7">
      <c r="B28" s="195">
        <v>2025</v>
      </c>
      <c r="C28" s="195" t="s">
        <v>29</v>
      </c>
      <c r="D28" s="195" t="s">
        <v>30</v>
      </c>
      <c r="E28" s="195" t="s">
        <v>31</v>
      </c>
      <c r="F28" s="195" t="s">
        <v>32</v>
      </c>
      <c r="G28" s="195" t="s">
        <v>33</v>
      </c>
    </row>
    <row r="29" spans="1:7">
      <c r="A29" s="3" t="s">
        <v>63</v>
      </c>
      <c r="B29" s="15">
        <f>FCFF!$J$39/FCFF!J40</f>
        <v>1.9085613841691145</v>
      </c>
      <c r="C29" s="15">
        <f>FCFF!$J$39/FCFF!C24</f>
        <v>1.8873289336653789</v>
      </c>
      <c r="D29" s="15">
        <f>FCFF!$J$39/FCFF!D24</f>
        <v>1.8686425085795833</v>
      </c>
      <c r="E29" s="15">
        <f>FCFF!$J$39/FCFF!E24</f>
        <v>1.853812012479745</v>
      </c>
      <c r="F29" s="15">
        <f>FCFF!$J$39/FCFF!F24</f>
        <v>1.8395554576827047</v>
      </c>
      <c r="G29" s="15">
        <f>FCFF!$J$39/FCFF!G24</f>
        <v>1.8258614964592601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A</vt:lpstr>
      <vt:lpstr>Base</vt:lpstr>
      <vt:lpstr>1) Estadística</vt:lpstr>
      <vt:lpstr>2) Research</vt:lpstr>
      <vt:lpstr>3) Macro</vt:lpstr>
      <vt:lpstr>4) Financial Statements</vt:lpstr>
      <vt:lpstr>5) Ratios</vt:lpstr>
      <vt:lpstr>6) Proyecciones</vt:lpstr>
      <vt:lpstr>FCFF</vt:lpstr>
      <vt:lpstr>Relative_Valuation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Vega</dc:creator>
  <cp:lastModifiedBy>Luca Camus</cp:lastModifiedBy>
  <dcterms:created xsi:type="dcterms:W3CDTF">2025-05-12T22:06:56Z</dcterms:created>
  <dcterms:modified xsi:type="dcterms:W3CDTF">2026-02-09T23:59:35Z</dcterms:modified>
</cp:coreProperties>
</file>